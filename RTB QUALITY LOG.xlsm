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24226"/>
  <mc:AlternateContent xmlns:mc="http://schemas.openxmlformats.org/markup-compatibility/2006">
    <mc:Choice Requires="x15">
      <x15ac:absPath xmlns:x15ac="http://schemas.microsoft.com/office/spreadsheetml/2010/11/ac" url="C:\Users\Laughlin\Documents\Personal\Macros - Codes\"/>
    </mc:Choice>
  </mc:AlternateContent>
  <xr:revisionPtr revIDLastSave="0" documentId="13_ncr:1_{4C8AD051-1975-4D4E-960A-0F18F4225D34}" xr6:coauthVersionLast="47" xr6:coauthVersionMax="47" xr10:uidLastSave="{00000000-0000-0000-0000-000000000000}"/>
  <workbookProtection workbookAlgorithmName="SHA-512" workbookHashValue="dlk4boRvnMvOj/TUKHKnpn7rRMjfD0d6pyjyOoXpDtb5K75hN0PwPtjT8AJh9xBSthHD4rKALa3L57Akj8Fvtw==" workbookSaltValue="0huhc+eV4/E8xeSzk4nzSg==" workbookSpinCount="100000" lockStructure="1"/>
  <bookViews>
    <workbookView xWindow="-120" yWindow="-120" windowWidth="29040" windowHeight="17640" tabRatio="334" xr2:uid="{00000000-000D-0000-FFFF-FFFF00000000}"/>
  </bookViews>
  <sheets>
    <sheet name="QUALITY LOG" sheetId="9" r:id="rId1"/>
    <sheet name="8D DETAILS" sheetId="20" state="hidden" r:id="rId2"/>
    <sheet name="8D Form" sheetId="19" r:id="rId3"/>
    <sheet name="Tracking" sheetId="10" state="hidden" r:id="rId4"/>
    <sheet name="Reference" sheetId="11" state="hidden" r:id="rId5"/>
    <sheet name="Metrics" sheetId="21" state="veryHidden" r:id="rId6"/>
  </sheets>
  <functionGroups builtInGroupCount="19"/>
  <definedNames>
    <definedName name="_xlnm._FilterDatabase" localSheetId="1" hidden="1">'8D DETAILS'!$A$3:$P$3</definedName>
    <definedName name="_xlnm._FilterDatabase" localSheetId="0" hidden="1">'QUALITY LOG'!$A$3:$T$41</definedName>
    <definedName name="_xlnm._FilterDatabase" localSheetId="4" hidden="1">Reference!#REF!</definedName>
    <definedName name="Active_Cell">'QUALITY LOG'!$A$1</definedName>
    <definedName name="ActiveColumn">1</definedName>
    <definedName name="ActiveRow">1</definedName>
    <definedName name="Individual_Team_Members">OFFSET(Reference!$C$2,0,0,COUNTA(Reference!$C:$C)-1,1)</definedName>
    <definedName name="Members">OFFSET(Reference!$B$2,0,0,COUNTA(Reference!$B:$B)-1,1)</definedName>
    <definedName name="_xlnm.Print_Area" localSheetId="2">'8D Form'!$A$1:$N$51</definedName>
    <definedName name="Type1">OFFSET(Reference!$A$2,0,0,COUNTA(Reference!$A:$A)-1,1)</definedName>
  </definedNames>
  <calcPr calcId="191029"/>
  <customWorkbookViews>
    <customWorkbookView name="hubbell - Personal View" guid="{B96B0000-95AF-4262-B611-BB63BB8686D3}" mergeInterval="0" personalView="1" maximized="1" xWindow="1" yWindow="1" windowWidth="1440" windowHeight="670" tabRatio="298" activeSheetId="1"/>
    <customWorkbookView name="Windows User - Personal View" guid="{280CC018-D140-4A70-882D-E465E72F965C}" mergeInterval="0" personalView="1" maximized="1" xWindow="1" yWindow="1" windowWidth="1920" windowHeight="930" tabRatio="298" activeSheetId="1"/>
    <customWorkbookView name="Stemmler, SandY - Personal View" guid="{5A73C22F-0291-4920-9264-973F73DE82D0}" mergeInterval="0" personalView="1" maximized="1" windowWidth="1916" windowHeight="807" tabRatio="298" activeSheetId="1"/>
    <customWorkbookView name="Administrator - Personal View" guid="{061655BC-54E6-4108-A6A2-ECE78C05A2B8}" mergeInterval="0" personalView="1" maximized="1" xWindow="1" yWindow="1" windowWidth="1440" windowHeight="670" tabRatio="217" activeSheetId="1"/>
    <customWorkbookView name="Chamberlain, Melissa - Personal View" guid="{6C50EDFE-28E7-4336-959B-7D1E38671F3A}" mergeInterval="0" personalView="1" maximized="1" windowWidth="1280" windowHeight="799" tabRatio="298" activeSheetId="1"/>
    <customWorkbookView name="Richard, Joseph - Personal View" guid="{79714875-8426-42F8-904D-6106F49F976F}" mergeInterval="0" personalView="1" maximized="1" windowWidth="1920" windowHeight="894" tabRatio="298" activeSheetId="1"/>
    <customWorkbookView name="Moretti, Melissa - Personal View" guid="{32AF6105-EFEA-4D89-81E5-68456018DB4E}" mergeInterval="0" personalView="1" maximized="1" xWindow="1" yWindow="1" windowWidth="1280" windowHeight="833" tabRatio="217" activeSheetId="1"/>
    <customWorkbookView name="jorichard - Personal View" guid="{27471A1D-14A5-4743-BEA6-8F2415541017}" mergeInterval="0" personalView="1" maximized="1" xWindow="1" yWindow="1" windowWidth="1920" windowHeight="889" tabRatio="298" activeSheetId="1"/>
    <customWorkbookView name="sfortson - Personal View" guid="{16370B12-31E6-4435-8190-48FE09BC84C1}" mergeInterval="0" personalView="1" maximized="1" xWindow="1" yWindow="1" windowWidth="1676" windowHeight="803" tabRatio="298" activeSheetId="1"/>
    <customWorkbookView name="Black, Richard - Personal View" guid="{A60507D0-3529-4144-9162-7DBCD8BB9580}" mergeInterval="0" personalView="1" maximized="1" xWindow="1" yWindow="1" windowWidth="1916" windowHeight="975" tabRatio="298" activeSheetId="1"/>
    <customWorkbookView name="Hoban, John - Personal View" guid="{CA6C8044-35EE-4A6A-8F1E-009134415D73}" mergeInterval="0" personalView="1" maximized="1" xWindow="1" yWindow="1" windowWidth="1024" windowHeight="547" tabRatio="298" activeSheetId="1"/>
    <customWorkbookView name="dname - Personal View" guid="{53366D63-BC6A-401F-AC51-580FDD1EF4DA}" mergeInterval="0" personalView="1" maximized="1" windowWidth="1276" windowHeight="852" tabRatio="298" activeSheetId="1"/>
    <customWorkbookView name="jtuttle - Personal View" guid="{222D9928-FD8D-4B53-9470-7716444C2202}" mergeInterval="0" personalView="1" maximized="1" xWindow="1" yWindow="1" windowWidth="1280" windowHeight="838" tabRatio="298" activeSheetId="1"/>
    <customWorkbookView name="riblack - Personal View" guid="{03F5CE36-F861-4767-90D1-DA146A27DEF6}" mergeInterval="0" personalView="1" maximized="1" windowWidth="1276" windowHeight="555" tabRatio="298" activeSheetId="1"/>
    <customWorkbookView name="Richard Black - Personal View" guid="{7798139E-69CB-4E1C-A2D6-198B1E5E48DA}" mergeInterval="0" personalView="1" maximized="1" windowWidth="1916" windowHeight="1024" tabRatio="298" activeSheetId="1"/>
    <customWorkbookView name="emiller - Personal View" guid="{039001AE-F007-4D05-A3A3-EEBE3EF18CAC}" mergeInterval="0" personalView="1" maximized="1" windowWidth="1916" windowHeight="1040" tabRatio="334" activeSheetId="1" showStatusbar="0"/>
    <customWorkbookView name="Laura Ostos - Personal View" guid="{EC3FE9C7-76D6-406A-AC34-56FB4E01BDC0}" mergeInterval="0" personalView="1" maximized="1" windowWidth="1276" windowHeight="852" tabRatio="298" activeSheetId="1"/>
    <customWorkbookView name="Lilia Sosa - Personal View" guid="{75398927-9E19-4450-9FD2-78B47E2AA63B}" mergeInterval="0" personalView="1" maximized="1" windowWidth="1276" windowHeight="855" tabRatio="298" activeSheetId="1"/>
    <customWorkbookView name="test - Personal View" guid="{19C329DB-A2B3-4E58-9F20-D493866D7031}" mergeInterval="0" personalView="1" maximized="1" windowWidth="868" windowHeight="666" tabRatio="298" activeSheetId="1"/>
    <customWorkbookView name="eric - Personal View" guid="{E0CAA63B-9F38-4011-BDC4-CA85328C1D9F}" mergeInterval="0" personalView="1" maximized="1" windowWidth="1916" windowHeight="992" tabRatio="298" activeSheetId="1"/>
    <customWorkbookView name="rirodrig - Personal View" guid="{BA5E3F29-1169-4E1B-A2C6-7F1B3D866095}" mergeInterval="0" personalView="1" maximized="1" windowWidth="1276" windowHeight="878" tabRatio="334" activeSheetId="1"/>
    <customWorkbookView name="rgiczi - Personal View" guid="{3AEDF168-69FE-41A3-A096-E24A142551F0}" mergeInterval="0" personalView="1" maximized="1" windowWidth="1020" windowHeight="596" tabRatio="298" activeSheetId="1"/>
    <customWorkbookView name="eernest - Personal View" guid="{380C8C97-DC32-4FE6-9026-56900DAD3D55}" mergeInterval="0" personalView="1" maximized="1" windowWidth="1654" windowHeight="728" tabRatio="298" activeSheetId="1"/>
    <customWorkbookView name="HEP - Personal View" guid="{63617430-E31E-4570-9960-401105D5F594}" mergeInterval="0" personalView="1" maximized="1" windowWidth="1276" windowHeight="847" tabRatio="298" activeSheetId="1" showComments="commIndAndComment"/>
    <customWorkbookView name="Ernest, Ed - Personal View" guid="{835D6761-8AE1-4208-9C64-FA181E1F187A}" mergeInterval="0" personalView="1" maximized="1" xWindow="1" yWindow="1" windowWidth="1440" windowHeight="713" tabRatio="298" activeSheetId="1"/>
    <customWorkbookView name="Korcz, Krzysztof - Personal View" guid="{9CCC34BD-B351-461C-A6E4-A6DE4171A595}" mergeInterval="0" personalView="1" maximized="1" xWindow="1" yWindow="1" windowWidth="1481" windowHeight="730" tabRatio="298" activeSheetId="1"/>
    <customWorkbookView name="kpatel - Personal View" guid="{46D63A48-D518-4741-9354-818B4F467C3F}" mergeInterval="0" personalView="1" maximized="1" xWindow="1" yWindow="1" windowWidth="1920" windowHeight="850" tabRatio="298" activeSheetId="1"/>
    <customWorkbookView name="sjohnson - Personal View" guid="{08DA02A3-C162-48C1-A13D-7AA2BB8DD3B7}" mergeInterval="0" personalView="1" maximized="1" xWindow="1" yWindow="1" windowWidth="1020" windowHeight="538" tabRatio="298" activeSheetId="1"/>
    <customWorkbookView name="Stemmler, Sandra - Personal View" guid="{A6ED2B9C-A214-4CA1-BE8B-8AAA8676D42D}" mergeInterval="0" personalView="1" maximized="1" windowWidth="1916" windowHeight="807" tabRatio="298" activeSheetId="1"/>
    <customWorkbookView name="Sanja Fortson - Personal View" guid="{6F2B298A-E01C-4771-B011-445F906CEDDF}" mergeInterval="0" personalView="1" maximized="1" xWindow="1" yWindow="1" windowWidth="1920" windowHeight="850" tabRatio="298" activeSheetId="1"/>
    <customWorkbookView name="Almazan, Georgina - Vista personalizada" guid="{F6A6F0BF-F739-44F2-8D43-F4DE509A753D}" mergeInterval="0" personalView="1" maximized="1" windowWidth="1280" windowHeight="818" tabRatio="298" activeSheetId="1"/>
    <customWorkbookView name="Patel, Krishna - Personal View" guid="{17F56074-57C0-4BBF-B014-74A9F1254F38}" mergeInterval="0" personalView="1" maximized="1" windowWidth="1916" windowHeight="854" tabRatio="298"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41" i="20" l="1"/>
  <c r="A41" i="9"/>
  <c r="A40" i="20" l="1"/>
  <c r="A40" i="9"/>
  <c r="A39" i="20"/>
  <c r="A39" i="9"/>
  <c r="A38" i="20"/>
  <c r="A38" i="9"/>
  <c r="A37" i="20"/>
  <c r="A37" i="9"/>
  <c r="A36" i="20"/>
  <c r="A36" i="9"/>
  <c r="A35" i="20"/>
  <c r="A35" i="9"/>
  <c r="A34" i="20"/>
  <c r="A34" i="9"/>
  <c r="A33" i="20"/>
  <c r="A33" i="9"/>
  <c r="A32" i="20"/>
  <c r="A32" i="9"/>
  <c r="A31" i="20"/>
  <c r="A31" i="9"/>
  <c r="A30" i="20"/>
  <c r="A30" i="9"/>
  <c r="A29" i="20"/>
  <c r="A29" i="9"/>
  <c r="A28" i="20"/>
  <c r="A28" i="9"/>
  <c r="A27" i="20"/>
  <c r="A27" i="9"/>
  <c r="A26" i="20"/>
  <c r="A26" i="9"/>
  <c r="A25" i="20"/>
  <c r="A25" i="9"/>
  <c r="A24" i="20"/>
  <c r="A24" i="9"/>
  <c r="A23" i="20"/>
  <c r="A23" i="9"/>
  <c r="A22" i="20"/>
  <c r="A22" i="9"/>
  <c r="A21" i="20"/>
  <c r="A21" i="9"/>
  <c r="A20" i="20"/>
  <c r="A20" i="9"/>
  <c r="A19" i="20"/>
  <c r="A19" i="9"/>
  <c r="A18" i="20"/>
  <c r="A18" i="9"/>
  <c r="A17" i="20"/>
  <c r="A17" i="9"/>
  <c r="A16" i="20"/>
  <c r="A16" i="9"/>
  <c r="A15" i="20"/>
  <c r="A15" i="9"/>
  <c r="A14" i="20"/>
  <c r="A14" i="9"/>
  <c r="A13" i="20"/>
  <c r="A13" i="9"/>
  <c r="A12" i="20"/>
  <c r="A12" i="9"/>
  <c r="A11" i="20"/>
  <c r="A11" i="9"/>
  <c r="A10" i="20"/>
  <c r="A10" i="9"/>
  <c r="A9" i="20"/>
  <c r="A9" i="9"/>
  <c r="A8" i="20"/>
  <c r="A8" i="9"/>
  <c r="A7" i="20"/>
  <c r="A7" i="9"/>
  <c r="A6" i="20"/>
  <c r="A6" i="9"/>
  <c r="A5" i="20"/>
  <c r="A5" i="9"/>
  <c r="A4" i="20"/>
  <c r="A4"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Ronald M. Veldman</author>
  </authors>
  <commentList>
    <comment ref="Q3" authorId="0" shapeId="0" xr:uid="{00000000-0006-0000-0000-000001000000}">
      <text>
        <r>
          <rPr>
            <b/>
            <sz val="9"/>
            <color indexed="81"/>
            <rFont val="Tahoma"/>
            <family val="2"/>
          </rPr>
          <t>WARNING!!!</t>
        </r>
        <r>
          <rPr>
            <sz val="9"/>
            <color indexed="81"/>
            <rFont val="Tahoma"/>
            <family val="2"/>
          </rPr>
          <t xml:space="preserve">
Once the 'Ready for Review Date' and all fields in Coumns A through I are entered, these Values cannot be changed!
Please be certain everything is correct before entering the 'Ready for Review Date'.
</t>
        </r>
      </text>
    </comment>
  </commentList>
</comments>
</file>

<file path=xl/sharedStrings.xml><?xml version="1.0" encoding="utf-8"?>
<sst xmlns="http://schemas.openxmlformats.org/spreadsheetml/2006/main" count="1169" uniqueCount="376">
  <si>
    <t>Comments or concerns</t>
  </si>
  <si>
    <t>STATUS</t>
  </si>
  <si>
    <t>COLUMNS BELOW FOR PRODUCT ENGINEERING USE ONLY</t>
  </si>
  <si>
    <t>Add New Row</t>
  </si>
  <si>
    <t>Type</t>
  </si>
  <si>
    <t>Show ALL ECN's</t>
  </si>
  <si>
    <t>Show All "Complete" ECN's</t>
  </si>
  <si>
    <t>Total Time</t>
  </si>
  <si>
    <t>Summary
Info</t>
  </si>
  <si>
    <t>8D NUMBER</t>
  </si>
  <si>
    <t>8D DATE</t>
  </si>
  <si>
    <t>OWNER</t>
  </si>
  <si>
    <t>Engineering Resources</t>
  </si>
  <si>
    <t>CUSTOMER PROBLEM TITLE</t>
  </si>
  <si>
    <t>TYPE</t>
  </si>
  <si>
    <t>SAMPLE SIZE</t>
  </si>
  <si>
    <t>DEFECT QUANTITY</t>
  </si>
  <si>
    <t>CONTAINMENT</t>
  </si>
  <si>
    <t>ROOT CAUSE</t>
  </si>
  <si>
    <t>CORRECTIVE ACTION</t>
  </si>
  <si>
    <t>PREVENTATIVE ACTION</t>
  </si>
  <si>
    <t>COMPLETE DATE</t>
  </si>
  <si>
    <t>DESCRIPTION</t>
  </si>
  <si>
    <t>8D Number</t>
  </si>
  <si>
    <t>Start Date</t>
  </si>
  <si>
    <t>PART NUMBER(S)</t>
  </si>
  <si>
    <t>CUSTOMER</t>
  </si>
  <si>
    <t>Part Number</t>
  </si>
  <si>
    <t>Sample Size</t>
  </si>
  <si>
    <t>Defect Quantity</t>
  </si>
  <si>
    <t>Team Members</t>
  </si>
  <si>
    <t>Closed By</t>
  </si>
  <si>
    <t>Verified By</t>
  </si>
  <si>
    <t>Date</t>
  </si>
  <si>
    <t>D5 CORRECTIVE ACTION</t>
  </si>
  <si>
    <t>Show All "OPEN" 8Ds / Unfilter</t>
  </si>
  <si>
    <t>D3 CONTAINMENT</t>
  </si>
  <si>
    <t>D4 ROOT CAUSE</t>
  </si>
  <si>
    <t>D6 VERIFICATION</t>
  </si>
  <si>
    <t>Generate Form</t>
  </si>
  <si>
    <t>DATE</t>
  </si>
  <si>
    <t>CONTAINMENT VERIFICATION</t>
  </si>
  <si>
    <t>VERIFIED DATE</t>
  </si>
  <si>
    <t>Customer</t>
  </si>
  <si>
    <t>TARGET DATE</t>
  </si>
  <si>
    <t xml:space="preserve"> 1 - VERIFIED BY</t>
  </si>
  <si>
    <t>ROOT CAUSE VERIFICATION</t>
  </si>
  <si>
    <t>Laughlin, Saline, Polk</t>
  </si>
  <si>
    <t>COLUMNS FOR PRODUCT ENGINEERING ONLY</t>
  </si>
  <si>
    <t>Individual Team Members</t>
  </si>
  <si>
    <t>D. Gibson</t>
  </si>
  <si>
    <t>1 - VERIFIED DATE</t>
  </si>
  <si>
    <t>2- VERIFIED DATE</t>
  </si>
  <si>
    <t>Owner</t>
  </si>
  <si>
    <t>1 - DATE</t>
  </si>
  <si>
    <t>2 - DATE</t>
  </si>
  <si>
    <t>1 - OWNER</t>
  </si>
  <si>
    <t>1 - VERIFIED BY</t>
  </si>
  <si>
    <t>2 - OWNER</t>
  </si>
  <si>
    <t>2- VERIFIED BY</t>
  </si>
  <si>
    <t>Due Date</t>
  </si>
  <si>
    <t>2- DATE</t>
  </si>
  <si>
    <t>2- OWNER</t>
  </si>
  <si>
    <t>3 - DATE</t>
  </si>
  <si>
    <t>3 - OWNER</t>
  </si>
  <si>
    <t>3- VERIFIED DATE</t>
  </si>
  <si>
    <t>3- VERIFIED BY</t>
  </si>
  <si>
    <t>PREVENTATIVE ACTION  VERIFICATION</t>
  </si>
  <si>
    <t>CORRECTIVE ACTION VERIFICATION</t>
  </si>
  <si>
    <t>D7 PREVENTATIVE ACTION</t>
  </si>
  <si>
    <t>R. Laughlin</t>
  </si>
  <si>
    <t>L. Saline</t>
  </si>
  <si>
    <t>G. Polk</t>
  </si>
  <si>
    <t>SECTION</t>
  </si>
  <si>
    <t>CLOSED BY</t>
  </si>
  <si>
    <t>Show All "Complete" 8D's</t>
  </si>
  <si>
    <t>Show ALL 8D's</t>
  </si>
  <si>
    <t>INCOMPLETE</t>
  </si>
  <si>
    <t>OPEN</t>
  </si>
  <si>
    <t>BRAND</t>
  </si>
  <si>
    <t>Raco</t>
  </si>
  <si>
    <t>TayMac / Bell</t>
  </si>
  <si>
    <t>5127-0 Rocker Arm Failure</t>
  </si>
  <si>
    <t>5127-0</t>
  </si>
  <si>
    <t>Pull current samples, perform dimensional checks against prints OK
Establish interaction between silicone and brass causing corrosion OK
Do a DFMEA on the rocker assembly.</t>
  </si>
  <si>
    <t>NM / Metallic Box Mounting Dimension Mismatch</t>
  </si>
  <si>
    <t>The mounting embosses / holes of the NM box and cover were found to be in different positions than that of the Metallic box.</t>
  </si>
  <si>
    <t>Drawings / CAD was inspected and it was determined that the locations of the mounting embosses / holes in the NM box and cover do not match those of the Metallic box.</t>
  </si>
  <si>
    <t>2146 Locknut Engagement</t>
  </si>
  <si>
    <t>A customer was using an incorrect locknut for part 2146.</t>
  </si>
  <si>
    <t>The drawing for the locknut in part 2146 was provided by the vendor San Ling.</t>
  </si>
  <si>
    <t>Liquid Tight Connectors Quality Issue</t>
  </si>
  <si>
    <t>3412, 3520</t>
  </si>
  <si>
    <t>The screw hole of the iron shell on the right side of the semicircle is inclined (should be level). The screw on the right side is stuck and cannot be screwed.</t>
  </si>
  <si>
    <t>KO Sheathed Cable Connector Bent Screw Hole</t>
  </si>
  <si>
    <t>Customer called in with complaint regarding misalignment issue between nonmetallic box and cover. Existing product will be left as is.</t>
  </si>
  <si>
    <t xml:space="preserve">Hubbell Caribe Limited </t>
  </si>
  <si>
    <t>Jeff Hlade sent the customer some replacement locknuts.</t>
  </si>
  <si>
    <t>N/A</t>
  </si>
  <si>
    <t>No corrective action required.</t>
  </si>
  <si>
    <t>No preventative action required.</t>
  </si>
  <si>
    <t>COMPLETE</t>
  </si>
  <si>
    <t>Paraffin Wax</t>
  </si>
  <si>
    <t>Metallic Box - Missing Tapped Holes</t>
  </si>
  <si>
    <t>5385-0</t>
  </si>
  <si>
    <t>663 - White Oxidation</t>
  </si>
  <si>
    <t>KO Sheathed Cable Connector  - Nuts Back Off During Shipping</t>
  </si>
  <si>
    <t>No action taken due to disposal of defective parts.</t>
  </si>
  <si>
    <t xml:space="preserve">Defective pieces were disposed.
</t>
  </si>
  <si>
    <t>Another carton of 2863 was added to the customer's existing order with no charge.</t>
  </si>
  <si>
    <t>If more defective parts become available, they need to be sent to Sigma to see if the connector damage occured during assembly on the special purpose assembly machine.</t>
  </si>
  <si>
    <t>No action taken due to disposal of defective parts. Closing 8D unless defective parts are found.</t>
  </si>
  <si>
    <t>17 Days</t>
  </si>
  <si>
    <t>GrowTron Technology (HK)</t>
  </si>
  <si>
    <t>DB375Z, DB350Z</t>
  </si>
  <si>
    <t>Wrong Packaging Card</t>
  </si>
  <si>
    <t>Parts need to be in a well ventilated and dry location to ensure no oxidation occur.</t>
  </si>
  <si>
    <t>PDB77550</t>
  </si>
  <si>
    <t>San Ling</t>
  </si>
  <si>
    <t>39 Days</t>
  </si>
  <si>
    <t>Missing Hardware in Air Deflectors</t>
  </si>
  <si>
    <t>Customer complained about missing hardware in an air deflector.</t>
  </si>
  <si>
    <t>DG30</t>
  </si>
  <si>
    <t>Plastic fracture due to cycling, failure located in the rocker switch pin sleeve rendering the switch cover inoperable</t>
  </si>
  <si>
    <t>3548 (Liquid Tight Connector) - White Oxidation</t>
  </si>
  <si>
    <t>Ideally, we would implement FIFO. Purchasing less connectors seems like the path forward.
No preventative action taken.</t>
  </si>
  <si>
    <t>The RACO inventory of part 3548 was inspected and 585 pcs were found to have the white oxidation. These pcs were scrapped from the inventory.</t>
  </si>
  <si>
    <t>No corrective action taken.</t>
  </si>
  <si>
    <t>-</t>
  </si>
  <si>
    <t>White oxidation has occurred on 200 pieces of the customer's liquid tight connectors.</t>
  </si>
  <si>
    <t>45 Days</t>
  </si>
  <si>
    <t>DB375Z parts were packaged with DB350Z cards.</t>
  </si>
  <si>
    <t>Elite / Freeport Logistics</t>
  </si>
  <si>
    <t xml:space="preserve">Currently reevaluating the design. Failure tends to occur in hot / humid conditions. John falls 2nd unit has failed since replacing at the end of May. </t>
  </si>
  <si>
    <t>AXEL PLASTICS' PASTE WIZ proposed as an alternative. The proposed alternative did not perform well in testing as it left a tiny hole after solidifying in about 50% of the products tested (around 30 pcs).</t>
  </si>
  <si>
    <t>Containment not applicable.</t>
  </si>
  <si>
    <t>An additional alternate is proposed: PW-300 from Ceras Especializadas. The wax was tested and per the test, the wax worked "fine".</t>
  </si>
  <si>
    <t>Stock of the existing wax is low, so new wax needs to expedited ASAP</t>
  </si>
  <si>
    <t>Preventative action not applicable.</t>
  </si>
  <si>
    <t>An alternate vendor for parrafin wax is required because of low stock and unavailability of the current wax. Alternate waxes are proposed and then tested.</t>
  </si>
  <si>
    <t>Parrafin wax is used to plug the holes of electrical boxes to prevent liquid concrete spilling into the holes. Alternate vendor needed due to low quantity of existing stock.</t>
  </si>
  <si>
    <t>32 Days</t>
  </si>
  <si>
    <t>DIY Consumer</t>
  </si>
  <si>
    <t>MM2410</t>
  </si>
  <si>
    <t>Well Shin USA</t>
  </si>
  <si>
    <t>Missing Screws, Screws loose, Nut loose</t>
  </si>
  <si>
    <t>Complaint came in that screws were missing and loose, nut was loose on large numbers of product.</t>
  </si>
  <si>
    <t>Packaging has poor to no control. Parts pass through automated sensors ot ensure they are in place at factory, but come apart during transit, dur to free space in the packaging.</t>
  </si>
  <si>
    <t>Units with improper labelling cards were identified at the Freeport factory.</t>
  </si>
  <si>
    <t>The cards are included inside the shrink wrap and Freeport does not have shrink wrapping capabilities. This means sticker labels are required to put over the packaging.</t>
  </si>
  <si>
    <t>Freeport confirms receipt of the stickers and completion of the issue on October 5, 2020.</t>
  </si>
  <si>
    <t>Defective 190's</t>
  </si>
  <si>
    <t>R/B Sales Corporation</t>
  </si>
  <si>
    <t xml:space="preserve">Customer had to manually tap the standoffs of 120 pieces. The parts they received were previously untapped. </t>
  </si>
  <si>
    <t>Sigma re-inspected the material available at the Sigma Pune factory and checked their transit and garner inventory. FG and PDI stock available all found to be OK after re-inspection.</t>
  </si>
  <si>
    <t>Lon working with quality engineer. Lon to see if Well Shin USA can connect directly to our quality group.</t>
  </si>
  <si>
    <t>Sigma concluded that this was an insolated incident where the operator was not aware of the defect.</t>
  </si>
  <si>
    <t xml:space="preserve">The auto part unloading mechanism was found to not work due to the unloading jaws being unsuitable for part 5385-0.  </t>
  </si>
  <si>
    <t>Sigma corrected the auto part unloading mechanism by suiting the jaws for part 5385-0.</t>
  </si>
  <si>
    <t>Sigma retrained the inspectors and operators working on the affected machine and part.</t>
  </si>
  <si>
    <t>Due to no availability of the part at the time, the customer decided that they would keep the parts and tap the standoffs themselves.</t>
  </si>
  <si>
    <t>Elite identified that the supplier of the labelling cards mixed the cards and the lot was not inspected upon arrival.</t>
  </si>
  <si>
    <t>Supplier of the labelling cards will ensure the cards for different SKU's are separated before sending to Elite..
Elite's inspection lots will be increased to 500 pcs for this part.</t>
  </si>
  <si>
    <t>255 sticker labels (adhesive on the back) are sent to Freeport from Elite on September 4, 2020.</t>
  </si>
  <si>
    <t>33 Days</t>
  </si>
  <si>
    <t>36 Days</t>
  </si>
  <si>
    <t>Customer identified an issue where the blanks were apparently skewed during initial cutting which left a mis-match of around .030" in the middle of each side.</t>
  </si>
  <si>
    <t>Affected parts were shipped back to Raco.</t>
  </si>
  <si>
    <t>Carlin Combustion</t>
  </si>
  <si>
    <t>Some parts were pulled off the line and were found to have a step that was too sharp. This affected the customer's assembly process.</t>
  </si>
  <si>
    <t>The cutters on the line were found to be dull.</t>
  </si>
  <si>
    <t>Affected samples were deemed acceptable by Raco engineers.I look at sample at Jeff desk and it is acceptable. Note: A small mismatch less than 1/64” is acceptable, without excessive burr.</t>
  </si>
  <si>
    <t>T/R replaced the dull cutters / dies. This resolved the issue.</t>
  </si>
  <si>
    <t>MX7280</t>
  </si>
  <si>
    <t>UL Variation Notice - MX7280</t>
  </si>
  <si>
    <t>The follow up testing on cover MX7280 for UL certification found the results for the INFRARED ANALYSIS; QUALITATIVE (IR) to be non-conforming.</t>
  </si>
  <si>
    <t>The polyethylene foam gasket did not pass the infrared analysis test.</t>
  </si>
  <si>
    <t>UL</t>
  </si>
  <si>
    <t>From the test report, “The IR spectrum of the Follow-Up Sample is missing transmittance bands at ~ 1352 and 965 cm-1 when compared to the IR spectrum of the Reference material (File E212332, Grade “TAYMAC FOAM” , Ref. Date T08-30-00)."</t>
  </si>
  <si>
    <t>The discrpencies from the test results cannot be correlated to a specific change in the gasket formulation.</t>
  </si>
  <si>
    <t>Criteria regarding the step on the box added to the inspection process.</t>
  </si>
  <si>
    <t>31 Days</t>
  </si>
  <si>
    <t>Metallic Box - Grounding Hole Untapped.</t>
  </si>
  <si>
    <t>City Electric Supply</t>
  </si>
  <si>
    <t>White oxidation has occurred on 100 pieces of the customer's drawn boxes.</t>
  </si>
  <si>
    <t>AD50W</t>
  </si>
  <si>
    <t>Customer identified an issue where the adhesive strips were missing from the AD50W rocker cover.</t>
  </si>
  <si>
    <t>Metallic Box - Missing Tapped Holes v2</t>
  </si>
  <si>
    <t>Customer reported that the standoffs of 36 metallic boxes were untapped.</t>
  </si>
  <si>
    <t>Drawings / CAD were updated. Tooling modification quote was provided and approved.</t>
  </si>
  <si>
    <t>Jacky modified existing and new tooling, and then provided samples to Riley and Krishna.</t>
  </si>
  <si>
    <t>Samples provided by Jacky were reviewed and no issues were found. Jacky told to proceed with parts. ECN will be released as this issue has been resolved.</t>
  </si>
  <si>
    <t>Reliant Watsun</t>
  </si>
  <si>
    <t>ML500, PBC100, PTC100</t>
  </si>
  <si>
    <t>Reliant Watsun India - First Article Inspections</t>
  </si>
  <si>
    <t>The components for part numbers ML500, PBC100, and PTC100 have been moved to India from China. As a result, first article inspections are required for the new tooling.</t>
  </si>
  <si>
    <t>Some dimensions were of the ML500, PBC100, and PTC components were marked out of spec. These dimensions were deemed acceptable.</t>
  </si>
  <si>
    <t>It was communicated to APAC Quality that the ML500, PBC100, and PTC100 component drawings would not be modified unless another issue occurred.</t>
  </si>
  <si>
    <t>85 Days</t>
  </si>
  <si>
    <t>Rexel</t>
  </si>
  <si>
    <t>No containment required.</t>
  </si>
  <si>
    <t>After purchasing new fittings and sealtite, the customer tried the Hubbell Made-In-China Sealtite connectors on the new Sealtite purchased from another vendor. The Hubbell fittings worked on the other brand of Sealtitie.</t>
  </si>
  <si>
    <t>Thus, the issue was with the Sealtite and not the fittings.</t>
  </si>
  <si>
    <t>2 Days</t>
  </si>
  <si>
    <t>A design guideline regarding hole pattern will be created to ensure this issue does not happen again. An ECN will be released with the updated drawings / prints.</t>
  </si>
  <si>
    <t>125 Days</t>
  </si>
  <si>
    <t>The customer complained about some liquid tight connectors. However, the customer discovered they were having issues with the conduit and not the fittings.</t>
  </si>
  <si>
    <t>38RAC, 40RAC</t>
  </si>
  <si>
    <t>The liquid tight connectors are galvanized. White oxidation will occur when the parts are exposed to moisture.</t>
  </si>
  <si>
    <t>150 pcs of the ½’’ EMT indenter connector had an issue with the locknut. The crimp collar was not parallel with the locknut to seat in the knockout properly.</t>
  </si>
  <si>
    <t>EMT Connector - Locknut</t>
  </si>
  <si>
    <t>The manufacturer, Patton, checked the existing stock of part 1972. No defective parts with the described issue were found.</t>
  </si>
  <si>
    <t>As inspection is done on a random sampling basis, some pcs escaped detection during PDI inspection in the final stage.</t>
  </si>
  <si>
    <t>Dies were rectified and modified.</t>
  </si>
  <si>
    <t>An in-process visual check has been introduced after the forming stage and will be performed by inspectors. This will be in addition to the existing PDI inspection process.</t>
  </si>
  <si>
    <t>Steiner Electric Company</t>
  </si>
  <si>
    <t>According to Patton, non-uniform material flow during the reduction process in the affected pcs resulted in the collar bend issue in the subsequent forming operation.</t>
  </si>
  <si>
    <t>Bottom mandrel introduced to eliminate any chances for non-uniform reduction process and to ensure parallel collar.</t>
  </si>
  <si>
    <t>28 Days</t>
  </si>
  <si>
    <t>MR420</t>
  </si>
  <si>
    <t>A. The</t>
  </si>
  <si>
    <t>E. Hardin</t>
  </si>
  <si>
    <t>K. Korcz</t>
  </si>
  <si>
    <t>V. Beristany</t>
  </si>
  <si>
    <t>K. Patel</t>
  </si>
  <si>
    <t>Brand</t>
  </si>
  <si>
    <t>Engineering Resource</t>
  </si>
  <si>
    <t>QUALITY ISSUE TITLE</t>
  </si>
  <si>
    <t>QUALITY ISSUE SUMMARY / FINDINGS</t>
  </si>
  <si>
    <t>Resource</t>
  </si>
  <si>
    <t>The customer confirmed receipt of the replacement metallic boxes on 1/19/21.</t>
  </si>
  <si>
    <t>Baikal Mechanical Inc.</t>
  </si>
  <si>
    <t>Refer to RTB-20-8 for information regarding the root cause of this issue.</t>
  </si>
  <si>
    <t>Refer to RTB-20-8 for information regarding the corrective action of this issue.</t>
  </si>
  <si>
    <t>Refer to RTB-20-8 for information regarding the preventative action of this issue.</t>
  </si>
  <si>
    <t>29 Days</t>
  </si>
  <si>
    <t xml:space="preserve">814C </t>
  </si>
  <si>
    <t>MM110</t>
  </si>
  <si>
    <t>Wet location text needs to be replaced with "Suitable for Damp Locations With Cover Closed"</t>
  </si>
  <si>
    <t>Sensors and alignment checked and found to be OK. Packaging also found to be okay.
Vibration trials conducted with present T3 Inner box packing &amp; T3 M outer box packing and observed defect after trial.</t>
  </si>
  <si>
    <t>Falling screw &amp; LNC after packaging due to vibration or movement during transportation as free space in inside box. T3 Box (10B Inner) Height to be reduced from 152 mm to 135 mm (17 mm) to minimize gap.
Accordingly outer box T3-M to be changed.</t>
  </si>
  <si>
    <t>New box drawing and packaging SOP to be updated.
BOM to be updated in System for 10B100 material. (New T3 inner &amp; T3-M outer box)
Box inspection with BOM check point to added in PDI inspection check sheet.</t>
  </si>
  <si>
    <t>119 Days</t>
  </si>
  <si>
    <t>Need to add foam to file and perform new testing.</t>
  </si>
  <si>
    <t>Need spec on deviation of foam and modify drawing.</t>
  </si>
  <si>
    <t>MM2410 Hinge Issue</t>
  </si>
  <si>
    <t>An issue found with the hinge through holes being partially closed on the MM2410 cover</t>
  </si>
  <si>
    <t>Inventory at Freeport Phoenix lot inspection: No defects found.</t>
  </si>
  <si>
    <t xml:space="preserve">The mold has 2 hydraulic core pulls pulling 4 pins.  We have had some issues with the cores on this mold coming loose and the core not being completely pulled before ejection.  This is normally caught during our in-process inspection.  </t>
  </si>
  <si>
    <t>American Plastics to review Mold process to ensure tool operated properly, and to ensure random tests of parts coming out of the 4 cavity tool.</t>
  </si>
  <si>
    <t>30 pc random pull test at American Plastics. All parts passed inspection. Inspected by Guillermina Guerrero.</t>
  </si>
  <si>
    <t>Regular random quality checks performed by manufacturer.</t>
  </si>
  <si>
    <t>3 Lots</t>
  </si>
  <si>
    <t>91 Days</t>
  </si>
  <si>
    <t>J. Hlade</t>
  </si>
  <si>
    <t>Locknut Threads</t>
  </si>
  <si>
    <t>Customer has 1001 locknuts with damaged threads or no threads.</t>
  </si>
  <si>
    <t>3702-6</t>
  </si>
  <si>
    <t>Vendor packed the cover 5180-5 instead of the 5101-6. Vendor is Sigma Electric</t>
  </si>
  <si>
    <t>5101-6</t>
  </si>
  <si>
    <t>Do it Best</t>
  </si>
  <si>
    <t>No preventative action taken.</t>
  </si>
  <si>
    <t>Refer to 8D-RTB20-3.</t>
  </si>
  <si>
    <t>Customer requested replacement parts.</t>
  </si>
  <si>
    <t>73 Days</t>
  </si>
  <si>
    <t>Customer reported the threading is missing for the ground screw.</t>
  </si>
  <si>
    <t>The vendor, Sigma, explained that the part is duly assembled with a ground screw and this screw is self-tapping. The hole where the screw is installed is not pre-threaded.</t>
  </si>
  <si>
    <t>The customer mistakenly communicated an issue where there was not one.</t>
  </si>
  <si>
    <t>4 Days</t>
  </si>
  <si>
    <t>DIY Customer</t>
  </si>
  <si>
    <t>Customer Complaint: MR420</t>
  </si>
  <si>
    <t>Customer complained regarding the use of a MR420 versus the use of a normal weatherproof cover.</t>
  </si>
  <si>
    <t>No containment action taken.</t>
  </si>
  <si>
    <t>No corrective action taken</t>
  </si>
  <si>
    <t>“This is a "recessed wall outlet enclosure". It would be fine for a new construction application but definitely not for a home with the normal outdoor receptacles already installed." - Customer</t>
  </si>
  <si>
    <t>"The new box does have attachment screws for mounting but since it is considerably deeper, clearance could be a problem. I really see no advantage to using a recessed enclosure versus the standard plastic outdoor cover." - Customer</t>
  </si>
  <si>
    <t>1 Days</t>
  </si>
  <si>
    <t>Customer Complaint: 5122</t>
  </si>
  <si>
    <t>“I received this 1-gang box lever switch to replace the one for my back door light. I removed my switch and connected the wires to the new switch and when I went to push it into place carefully folding the wires the switch actually fell apart in my hands." - Customer</t>
  </si>
  <si>
    <t>"I stopped the installation and put my switch back in. I cannot in good Conscience recommend this product. The switch cover itself was ver hard to push off and on without Briton installed." - Customer</t>
  </si>
  <si>
    <t>A customer issued a complaint stating a single piece of the weatherproof decorator cover 5122 fell apart in their hands.</t>
  </si>
  <si>
    <t>A replacement part was shipped to the customer.</t>
  </si>
  <si>
    <t>The customer's complaint was communicated to Jacky at Reliant. They checked 200 pieces and did not find the steel clip assembly issues. They tested 10 pieces with 222N push on the switch one-sided. All 10 pieces passed.</t>
  </si>
  <si>
    <t>9 Days</t>
  </si>
  <si>
    <t>Mispackaged Metallic Flip Cover</t>
  </si>
  <si>
    <t>The customer reported that a single item was incorrectly packaged. Customer and vendor inspected their lots and no other pieces with the same issue were found. Mispackaged item sent back to Riley Laughlin for verification.</t>
  </si>
  <si>
    <t>No root cause determined.</t>
  </si>
  <si>
    <t>24 Days</t>
  </si>
  <si>
    <t xml:space="preserve">Reach out to vendor to understand silicone placement
Run samples through UL 514D 8.2, 8.3, 8.8.1, 8.1.11 tests - Garrett able to duplicate failure mode.  </t>
  </si>
  <si>
    <t xml:space="preserve">Mailing parts to Kris. Confirm with Lon if he has sent parts to Kris. Mailed 4/14/2021.  Need to strengthen pin housing in plastic to prevent failure at that point.  </t>
  </si>
  <si>
    <t>Need to look at possibility of modifying the geometry in the rocker switch assembly to enable the use of the cover with dimmable switches by removing the saddle and saddle seat. Legs on the rocker switch need to be extended by 0.040" to enable use with dimmer switches.</t>
  </si>
  <si>
    <t>Flattened threads</t>
  </si>
  <si>
    <t>2950, 2923, 2956</t>
  </si>
  <si>
    <t>DA28</t>
  </si>
  <si>
    <t>Garrett suggested to the customer that they get some self-tapping / self-drilling screws from a hardware store.</t>
  </si>
  <si>
    <t>Hardware was missing from the customer's purchased air deflector.</t>
  </si>
  <si>
    <t>Upon review of the air deflectors, the decision was made to swap out the machine screws specified in the drawings with a self-drilling screw that can drill through sheet metal.</t>
  </si>
  <si>
    <t>A self-drilling screw was specified in the drawings and the vendor (San Ling) has sourced the specified screw</t>
  </si>
  <si>
    <t>180 Days</t>
  </si>
  <si>
    <t>Lesco</t>
  </si>
  <si>
    <t>Mispackaged Metallic Weatherproof Cover</t>
  </si>
  <si>
    <t>Customer received MX3200 in MD5881-0 packaging</t>
  </si>
  <si>
    <t>MD5881-0, MX3200</t>
  </si>
  <si>
    <t>No root cause found. It is possible that this could have been a result of a carrier not inspecting customer returned items.</t>
  </si>
  <si>
    <t>The customer reported that their metallic covers have indent features instead of through holes for mounting.</t>
  </si>
  <si>
    <t>MD5881-0 and MX3200 are not made by the same vendors, and MD5881-0 was last made in 2018 by Hubbell Asia. Thus, it is difficult to determine how where this mispackaging occurred.</t>
  </si>
  <si>
    <t>The customer's order was refunded.</t>
  </si>
  <si>
    <t>14 Days</t>
  </si>
  <si>
    <t>Raco 650 - Nonconformance Issue</t>
  </si>
  <si>
    <t>Customer received different box than from what they normally receive. Differences include dimensions, hole placements, and a bar-code on the inside of the unit.</t>
  </si>
  <si>
    <t>Standard Electric Supply Co.</t>
  </si>
  <si>
    <t xml:space="preserve">650 stock was purchased from China to stay afloat. However, the stock did not work with the customer's OE application. </t>
  </si>
  <si>
    <t>A RMA was filed and the customer received a reimbursement / replacement parts.</t>
  </si>
  <si>
    <t>Going forward, the customer will receive American built product.
Distributor (Lesco).</t>
  </si>
  <si>
    <t>Mispackaged Box Cover</t>
  </si>
  <si>
    <t>Hein Electric Supply Co.</t>
  </si>
  <si>
    <t xml:space="preserve">Customer had 167 mis-labeled Raco 814Cs – the plastic packages show 807C. </t>
  </si>
  <si>
    <t>An RMA was filed and the customer received reimbursement / replacement parts.</t>
  </si>
  <si>
    <t>No root cause identified.</t>
  </si>
  <si>
    <t>The parts were packaged in Sample St./Fasco and were stored in the Ontario, CA warehouse</t>
  </si>
  <si>
    <t>50 Days</t>
  </si>
  <si>
    <t>Missing Covers</t>
  </si>
  <si>
    <t>An RMA was filed and the customer received replacement parts.</t>
  </si>
  <si>
    <t>SC080803STRC</t>
  </si>
  <si>
    <t>Customer received 9 SC080803STRC's with no covers.</t>
  </si>
  <si>
    <t>Amazon complaints</t>
  </si>
  <si>
    <t>Missing Adhesive Strip</t>
  </si>
  <si>
    <t>Fastenal</t>
  </si>
  <si>
    <t>The customer was reimbursed for the affected pcs. The parts were shipped to San Ling for review.</t>
  </si>
  <si>
    <t>The flat threads were caused by the threading machine, which is controlled by a parameter.</t>
  </si>
  <si>
    <t>According to San Ling, the affected parts were produced in 2019 by manual machines. These parts were considered a little tight, but passed the thread gauge test.</t>
  </si>
  <si>
    <t>The production machines have been changed to CNC machines.</t>
  </si>
  <si>
    <t>The quality standard has been modified to match the second and upper level of the gauge.</t>
  </si>
  <si>
    <t>The customer (Fastenal) reported having 1650 pcs of 3702-6 with flattened threads.</t>
  </si>
  <si>
    <t>Standards (Machinery's Handbook and ASME B1.20.1) were provided to San Ling as a reference.</t>
  </si>
  <si>
    <t>Liquid-Tight Connector - Flattened Threads</t>
  </si>
  <si>
    <t>79 Days</t>
  </si>
  <si>
    <t>EMT Connector - Crimp Collar Not Parallel</t>
  </si>
  <si>
    <t>The customer reported having more pcs of part 1972 with the angled crimp collar. The crimp collar should be flat.</t>
  </si>
  <si>
    <t>A credit note was issued for the affected pcs.
Refer to 8D-RTB20-18 for additonal details.</t>
  </si>
  <si>
    <t>Refer to 8D-RTB20-18 for additional details.</t>
  </si>
  <si>
    <t>939, 939XL</t>
  </si>
  <si>
    <t xml:space="preserve">Locknuts without thread -  Unthreaded lock nuts may have mixed up with tapped ones during the tapping operation.  </t>
  </si>
  <si>
    <t>Locknuts with damaged thread -  Tapping (threading operation) with loose clamping resulted in damaged /  improper pattern of thread.</t>
  </si>
  <si>
    <t>Locknuts without thread - The tapping operators have been instructed to do material movement more cautiously to avoid mix-ups. Sorting / packaging will be performed more carefully to minimize failure.</t>
  </si>
  <si>
    <t>Locknuts with damaged thread- Lock nuts setting/clamping in the fixture to be done properly, during tapping, to obtain specified threads.</t>
  </si>
  <si>
    <t>Operators and inspectors have been properly trained.</t>
  </si>
  <si>
    <t>The customer orders thousands of part 1001 at a time. The supplier (Patton) was notified of the issue.</t>
  </si>
  <si>
    <t>The screening range from the last process has been increased to three processes. Each process is fully inspected, and the zinc alloy parts are rotated reversely and applied with tensile force to test whether they will fall off.</t>
  </si>
  <si>
    <t>The tapping of zinc alloy bracket is not in place, and the screw is not rotated to the end. The end of tap used to tap zinc alloy bracket has no teeth when it is delivered from the factory.</t>
  </si>
  <si>
    <t>Due to the lack of bracket and limit fixture in the process of punting, the punting position is affected by the technique and has deviation, and the convex point does not play a locking role.</t>
  </si>
  <si>
    <t xml:space="preserve">In the process of zinc alloy tapping, inspect and use the machine to cut the end of the tap, so as to ensure that all the taps are qualified and can be used. </t>
  </si>
  <si>
    <t>The inspection method is: screw the screw into the zinc alloy bracket, and then use the height ruler to measure the height. If the tapping is not in place, it cannot be put into the height ruler.</t>
  </si>
  <si>
    <t xml:space="preserve">Add anti daze inspection fixture 2: in the dot process, add fixture, the fixture has two functions. The first function is to play the role of a bracket to ensure that the zinc alloy bracket is upright, so that the dot will not be crooked. </t>
  </si>
  <si>
    <t>Screening process is added in the process of dot, assembly and packaging.</t>
  </si>
  <si>
    <t>Disengaged Rod</t>
  </si>
  <si>
    <t>The rod disengaged from the stationary end of part 939 as a result of due to machine operator error.</t>
  </si>
  <si>
    <t>Bangte Electric</t>
  </si>
  <si>
    <t>Before TayMac was purchased by Hubbell, TayMac procured the adhesive strips for AD50W and AD60W and provided them to American Plastics.</t>
  </si>
  <si>
    <t>This practice stopped after TayMac was acquired by Hubbell. Once adhesive strip stock depleted, the packaged AD50Ws and AD60Ws did not include the strips.</t>
  </si>
  <si>
    <t>Updated drawings were provided to American Plastics to begin procurement activities.</t>
  </si>
  <si>
    <t>American Plastics provided sample tapes to RTB Engineering and a quote.</t>
  </si>
  <si>
    <t>After consideration, the decision was made to discontinue  AD50W and AD60W  due to the high cost of the adhesive roll and the low volume of the SKUs</t>
  </si>
  <si>
    <t>163 Days</t>
  </si>
  <si>
    <t>The anti-short bushing / retainer rings was reported falling out of the armored cable connectors 38RAC and 40RAC</t>
  </si>
  <si>
    <t>The reported batch was not included in the shipment to San Ling. Otherwise, the issue has been corrected.</t>
  </si>
  <si>
    <t>CED St. George</t>
  </si>
  <si>
    <t>Old material from before 2020 was sent to San Ling to have the retainer rings replaced. The reported batch was returned/scrapped.</t>
  </si>
  <si>
    <t>Armored Cable Connectors - Retainer Ring</t>
  </si>
  <si>
    <t>Corrective action not applicable.</t>
  </si>
  <si>
    <t>Customer sent fittings to TayMac. Garrett reviewed inspected/tested fittings and found no issues. Samples went sent back to the customer.</t>
  </si>
  <si>
    <t>The complaint that the fittings cannot fit on the conduit was not replicated. However, it is possible that the conduit was irregularly shaped. The tightening problem seems to based on the location of the separation of the clamp ring.</t>
  </si>
  <si>
    <t>Every fitting easily slid onto the included conduit. The ½”, and 2-1/2” were able to be hand tightened to the point where it required a wrench to loosen them. The 4” was too large to get the proper torque with just hands, but it still slid on easily.</t>
  </si>
  <si>
    <t>Schaedler</t>
  </si>
  <si>
    <t>Conduit Fittings Review</t>
  </si>
  <si>
    <t>Customer reported defective fittings in which the fittings would not fit over conduit. However, no issues were found after inspection by RTB Engineering.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</si>
</sst>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mm/dd/yy"/>
  </numFmts>
  <fonts count="2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4"/>
      <name val="Arial"/>
      <family val="2"/>
    </font>
    <font>
      <sz val="9"/>
      <name val="Arial"/>
      <family val="2"/>
    </font>
    <font>
      <u/>
      <sz val="10"/>
      <color theme="10"/>
      <name val="Arial"/>
      <family val="2"/>
    </font>
    <font>
      <sz val="10"/>
      <name val="Arial"/>
      <family val="2"/>
    </font>
    <font>
      <b/>
      <sz val="10"/>
      <name val="Arial"/>
      <family val="2"/>
    </font>
    <font>
      <b/>
      <sz val="12"/>
      <name val="Arial"/>
      <family val="2"/>
    </font>
    <font>
      <b/>
      <u/>
      <sz val="12"/>
      <color theme="10"/>
      <name val="Arial"/>
      <family val="2"/>
    </font>
    <font>
      <sz val="10"/>
      <name val="Arial"/>
      <family val="2"/>
    </font>
    <font>
      <sz val="11"/>
      <color rgb="FF9C0006"/>
      <name val="Calibri"/>
      <family val="2"/>
      <scheme val="minor"/>
    </font>
    <font>
      <sz val="9"/>
      <color indexed="81"/>
      <name val="Tahoma"/>
      <family val="2"/>
    </font>
    <font>
      <b/>
      <sz val="9"/>
      <color indexed="81"/>
      <name val="Tahoma"/>
      <family val="2"/>
    </font>
    <font>
      <sz val="8"/>
      <name val="Arial"/>
      <family val="2"/>
    </font>
    <font>
      <sz val="10"/>
      <color rgb="FF000000"/>
      <name val="Arial"/>
      <family val="2"/>
    </font>
    <font>
      <u/>
      <sz val="12"/>
      <color theme="10"/>
      <name val="Arial"/>
      <family val="2"/>
    </font>
    <font>
      <b/>
      <sz val="10"/>
      <color rgb="FFFFFFFF"/>
      <name val="Arial"/>
      <family val="2"/>
    </font>
  </fonts>
  <fills count="12">
    <fill>
      <patternFill patternType="none"/>
    </fill>
    <fill>
      <patternFill patternType="gray125"/>
    </fill>
    <fill>
      <patternFill patternType="solid">
        <fgColor indexed="1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7CE"/>
      </patternFill>
    </fill>
    <fill>
      <patternFill patternType="solid">
        <fgColor theme="0"/>
        <bgColor indexed="64"/>
      </patternFill>
    </fill>
    <fill>
      <patternFill patternType="solid">
        <fgColor rgb="FF00FFFF"/>
        <bgColor indexed="64"/>
      </patternFill>
    </fill>
    <fill>
      <patternFill patternType="solid">
        <fgColor rgb="FFD9D9D9"/>
        <bgColor indexed="64"/>
      </patternFill>
    </fill>
    <fill>
      <patternFill patternType="solid">
        <fgColor rgb="FFFFFFFF"/>
        <bgColor indexed="64"/>
      </patternFill>
    </fill>
    <fill>
      <patternFill patternType="solid">
        <fgColor rgb="FFFFFFC8"/>
        <bgColor indexed="64"/>
      </patternFill>
    </fill>
    <fill>
      <patternFill patternType="solid">
        <fgColor rgb="FF00B050"/>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rgb="FF000066"/>
      </left>
      <right style="medium">
        <color rgb="FF000066"/>
      </right>
      <top style="medium">
        <color rgb="FF000066"/>
      </top>
      <bottom style="medium">
        <color rgb="FF000066"/>
      </bottom>
      <diagonal/>
    </border>
    <border>
      <left style="medium">
        <color rgb="FF000066"/>
      </left>
      <right/>
      <top style="medium">
        <color rgb="FF000066"/>
      </top>
      <bottom/>
      <diagonal/>
    </border>
    <border>
      <left/>
      <right/>
      <top style="medium">
        <color rgb="FF000066"/>
      </top>
      <bottom/>
      <diagonal/>
    </border>
    <border>
      <left/>
      <right style="medium">
        <color rgb="FF000066"/>
      </right>
      <top style="medium">
        <color rgb="FF000066"/>
      </top>
      <bottom/>
      <diagonal/>
    </border>
    <border>
      <left style="medium">
        <color rgb="FF000066"/>
      </left>
      <right/>
      <top/>
      <bottom style="medium">
        <color rgb="FF000066"/>
      </bottom>
      <diagonal/>
    </border>
    <border>
      <left/>
      <right/>
      <top/>
      <bottom style="medium">
        <color rgb="FF000066"/>
      </bottom>
      <diagonal/>
    </border>
    <border>
      <left/>
      <right style="medium">
        <color rgb="FF000066"/>
      </right>
      <top/>
      <bottom style="medium">
        <color rgb="FF000066"/>
      </bottom>
      <diagonal/>
    </border>
    <border>
      <left style="medium">
        <color rgb="FF000066"/>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rgb="FF000066"/>
      </left>
      <right style="medium">
        <color rgb="FF000066"/>
      </right>
      <top style="medium">
        <color rgb="FF000066"/>
      </top>
      <bottom/>
      <diagonal/>
    </border>
    <border>
      <left style="medium">
        <color rgb="FF000066"/>
      </left>
      <right style="medium">
        <color rgb="FF000066"/>
      </right>
      <top/>
      <bottom style="medium">
        <color rgb="FF000066"/>
      </bottom>
      <diagonal/>
    </border>
    <border>
      <left/>
      <right style="medium">
        <color rgb="FF000066"/>
      </right>
      <top/>
      <bottom/>
      <diagonal/>
    </border>
    <border>
      <left/>
      <right/>
      <top style="thin">
        <color indexed="64"/>
      </top>
      <bottom/>
      <diagonal/>
    </border>
    <border>
      <left style="medium">
        <color rgb="FF000066"/>
      </left>
      <right/>
      <top style="medium">
        <color rgb="FF000066"/>
      </top>
      <bottom style="medium">
        <color rgb="FF000066"/>
      </bottom>
      <diagonal/>
    </border>
    <border>
      <left/>
      <right/>
      <top style="medium">
        <color rgb="FF000066"/>
      </top>
      <bottom style="medium">
        <color rgb="FF000066"/>
      </bottom>
      <diagonal/>
    </border>
    <border>
      <left/>
      <right style="medium">
        <color rgb="FF000066"/>
      </right>
      <top style="medium">
        <color rgb="FF000066"/>
      </top>
      <bottom style="medium">
        <color rgb="FF000066"/>
      </bottom>
      <diagonal/>
    </border>
  </borders>
  <cellStyleXfs count="19">
    <xf numFmtId="0" fontId="0" fillId="0" borderId="0"/>
    <xf numFmtId="0" fontId="7" fillId="0" borderId="0" applyNumberFormat="0" applyFill="0" applyBorder="0" applyAlignment="0" applyProtection="0"/>
    <xf numFmtId="0" fontId="8" fillId="0" borderId="0"/>
    <xf numFmtId="0" fontId="4" fillId="0" borderId="0"/>
    <xf numFmtId="0" fontId="8" fillId="0" borderId="0"/>
    <xf numFmtId="0" fontId="3" fillId="0" borderId="0"/>
    <xf numFmtId="0" fontId="12" fillId="0" borderId="0"/>
    <xf numFmtId="0" fontId="3" fillId="0" borderId="0"/>
    <xf numFmtId="0" fontId="2" fillId="0" borderId="0"/>
    <xf numFmtId="0" fontId="2" fillId="0" borderId="0"/>
    <xf numFmtId="0" fontId="8"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3" fillId="5" borderId="0" applyNumberFormat="0" applyBorder="0" applyAlignment="0" applyProtection="0"/>
  </cellStyleXfs>
  <cellXfs count="114">
    <xf numFmtId="0" fontId="0" fillId="0" borderId="0" xfId="0"/>
    <xf numFmtId="0" fontId="0" fillId="0" borderId="0" xfId="0" applyAlignment="1">
      <alignment vertical="center"/>
    </xf>
    <xf numFmtId="0" fontId="0" fillId="0" borderId="0" xfId="0" applyAlignment="1">
      <alignment horizontal="center" vertical="center" wrapText="1"/>
    </xf>
    <xf numFmtId="0" fontId="9" fillId="0" borderId="0" xfId="0" applyFont="1" applyAlignment="1">
      <alignment vertical="center"/>
    </xf>
    <xf numFmtId="0" fontId="0" fillId="3" borderId="0" xfId="0" applyFill="1" applyAlignment="1">
      <alignment horizontal="center" vertical="center" wrapText="1"/>
    </xf>
    <xf numFmtId="0" fontId="8" fillId="0" borderId="0" xfId="0" applyFont="1" applyAlignment="1">
      <alignment vertical="center"/>
    </xf>
    <xf numFmtId="0" fontId="0" fillId="6" borderId="17" xfId="0" applyFill="1" applyBorder="1" applyAlignment="1" applyProtection="1">
      <alignment horizontal="left"/>
      <protection locked="0"/>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11" fillId="3" borderId="1" xfId="1" applyNumberFormat="1" applyFont="1" applyFill="1" applyBorder="1" applyAlignment="1" applyProtection="1">
      <alignment horizontal="center" vertical="center" wrapText="1"/>
    </xf>
    <xf numFmtId="0" fontId="8" fillId="4" borderId="6" xfId="0" applyFont="1" applyFill="1" applyBorder="1" applyAlignment="1">
      <alignment horizontal="center" vertical="center" wrapText="1"/>
    </xf>
    <xf numFmtId="164" fontId="8" fillId="4" borderId="6" xfId="0" applyNumberFormat="1" applyFont="1" applyFill="1" applyBorder="1" applyAlignment="1">
      <alignment horizontal="center" vertical="center" wrapText="1"/>
    </xf>
    <xf numFmtId="14" fontId="8" fillId="4" borderId="6" xfId="1" applyNumberFormat="1" applyFont="1" applyFill="1" applyBorder="1" applyAlignment="1" applyProtection="1">
      <alignment horizontal="center" vertical="center" wrapText="1"/>
    </xf>
    <xf numFmtId="14" fontId="8" fillId="4" borderId="6" xfId="0" applyNumberFormat="1" applyFont="1" applyFill="1" applyBorder="1" applyAlignment="1">
      <alignment horizontal="center" vertical="center" wrapText="1"/>
    </xf>
    <xf numFmtId="49" fontId="8" fillId="4" borderId="6" xfId="0" applyNumberFormat="1" applyFont="1" applyFill="1" applyBorder="1" applyAlignment="1">
      <alignment horizontal="center" vertical="center" wrapText="1"/>
    </xf>
    <xf numFmtId="164" fontId="10" fillId="4" borderId="6" xfId="1" applyNumberFormat="1" applyFont="1" applyFill="1" applyBorder="1" applyAlignment="1" applyProtection="1">
      <alignment horizontal="center" vertical="center" wrapText="1"/>
    </xf>
    <xf numFmtId="0" fontId="10" fillId="0" borderId="30" xfId="0" applyFont="1" applyBorder="1" applyAlignment="1">
      <alignment horizontal="center" vertical="center" wrapText="1"/>
    </xf>
    <xf numFmtId="0" fontId="8" fillId="0" borderId="1" xfId="0" applyFont="1" applyBorder="1" applyAlignment="1">
      <alignment horizontal="center" vertical="center" wrapText="1"/>
    </xf>
    <xf numFmtId="0" fontId="8" fillId="0" borderId="1" xfId="1" applyNumberFormat="1" applyFont="1" applyFill="1" applyBorder="1" applyAlignment="1" applyProtection="1">
      <alignment horizontal="center" vertical="center" wrapText="1"/>
    </xf>
    <xf numFmtId="22" fontId="0" fillId="3" borderId="0" xfId="0" applyNumberFormat="1" applyFill="1" applyAlignment="1">
      <alignment horizontal="center" vertical="center" wrapText="1"/>
    </xf>
    <xf numFmtId="0" fontId="0" fillId="6" borderId="0" xfId="0" applyFill="1"/>
    <xf numFmtId="0" fontId="9" fillId="6" borderId="0" xfId="0" applyFont="1" applyFill="1"/>
    <xf numFmtId="0" fontId="0" fillId="6" borderId="0" xfId="0" applyFill="1" applyAlignment="1">
      <alignment horizontal="center"/>
    </xf>
    <xf numFmtId="0" fontId="9" fillId="6" borderId="22" xfId="0" applyFont="1" applyFill="1" applyBorder="1"/>
    <xf numFmtId="0" fontId="0" fillId="6" borderId="18" xfId="0" applyFill="1" applyBorder="1"/>
    <xf numFmtId="0" fontId="0" fillId="6" borderId="19" xfId="0" applyFill="1" applyBorder="1"/>
    <xf numFmtId="0" fontId="9" fillId="6" borderId="19" xfId="0" applyFont="1" applyFill="1" applyBorder="1"/>
    <xf numFmtId="0" fontId="0" fillId="6" borderId="20" xfId="0" applyFill="1" applyBorder="1"/>
    <xf numFmtId="0" fontId="0" fillId="6" borderId="24" xfId="0" applyFill="1" applyBorder="1"/>
    <xf numFmtId="0" fontId="0" fillId="6" borderId="29" xfId="0" applyFill="1" applyBorder="1"/>
    <xf numFmtId="0" fontId="0" fillId="6" borderId="21" xfId="0" applyFill="1" applyBorder="1"/>
    <xf numFmtId="0" fontId="0" fillId="6" borderId="22" xfId="0" applyFill="1" applyBorder="1"/>
    <xf numFmtId="0" fontId="0" fillId="6" borderId="23" xfId="0" applyFill="1" applyBorder="1"/>
    <xf numFmtId="0" fontId="0" fillId="6" borderId="14" xfId="0" applyFill="1" applyBorder="1"/>
    <xf numFmtId="0" fontId="0" fillId="6" borderId="15" xfId="0" applyFill="1" applyBorder="1"/>
    <xf numFmtId="0" fontId="9" fillId="6" borderId="15" xfId="0" applyFont="1" applyFill="1" applyBorder="1"/>
    <xf numFmtId="0" fontId="0" fillId="6" borderId="16" xfId="0" applyFill="1" applyBorder="1"/>
    <xf numFmtId="0" fontId="0" fillId="6" borderId="9" xfId="0" applyFill="1" applyBorder="1"/>
    <xf numFmtId="0" fontId="0" fillId="6" borderId="0" xfId="0" applyFill="1" applyAlignment="1">
      <alignment horizontal="center" vertical="center"/>
    </xf>
    <xf numFmtId="0" fontId="0" fillId="6" borderId="10" xfId="0" applyFill="1" applyBorder="1"/>
    <xf numFmtId="0" fontId="8" fillId="6" borderId="0" xfId="0" applyFont="1" applyFill="1"/>
    <xf numFmtId="0" fontId="0" fillId="6" borderId="11" xfId="0" applyFill="1" applyBorder="1"/>
    <xf numFmtId="0" fontId="0" fillId="6" borderId="12" xfId="0" applyFill="1" applyBorder="1" applyAlignment="1">
      <alignment horizontal="center"/>
    </xf>
    <xf numFmtId="0" fontId="0" fillId="6" borderId="12" xfId="0" applyFill="1" applyBorder="1"/>
    <xf numFmtId="0" fontId="0" fillId="6" borderId="13" xfId="0" applyFill="1" applyBorder="1"/>
    <xf numFmtId="0" fontId="0" fillId="6" borderId="22" xfId="0" applyFill="1" applyBorder="1" applyAlignment="1">
      <alignment horizontal="center"/>
    </xf>
    <xf numFmtId="0" fontId="9" fillId="6" borderId="0" xfId="0" applyFont="1" applyFill="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49" fontId="0" fillId="0" borderId="0" xfId="0" applyNumberFormat="1" applyAlignment="1">
      <alignment horizontal="center" vertical="center"/>
    </xf>
    <xf numFmtId="0" fontId="5" fillId="2" borderId="2" xfId="0" applyFont="1" applyFill="1" applyBorder="1" applyAlignment="1">
      <alignment vertical="center" wrapText="1"/>
    </xf>
    <xf numFmtId="0" fontId="8" fillId="8" borderId="6" xfId="0" applyFont="1" applyFill="1" applyBorder="1" applyAlignment="1">
      <alignment horizontal="center" vertical="center" wrapText="1"/>
    </xf>
    <xf numFmtId="0" fontId="6" fillId="8" borderId="6" xfId="1" applyNumberFormat="1" applyFont="1" applyFill="1" applyBorder="1" applyAlignment="1" applyProtection="1">
      <alignment horizontal="center" vertical="center" wrapText="1"/>
    </xf>
    <xf numFmtId="49" fontId="6" fillId="8" borderId="6" xfId="1" applyNumberFormat="1" applyFont="1" applyFill="1" applyBorder="1" applyAlignment="1" applyProtection="1">
      <alignment horizontal="center" vertical="center" wrapText="1"/>
    </xf>
    <xf numFmtId="165" fontId="8" fillId="9" borderId="17" xfId="0" applyNumberFormat="1" applyFont="1" applyFill="1" applyBorder="1" applyAlignment="1" applyProtection="1">
      <alignment horizontal="center" vertical="center"/>
      <protection locked="0"/>
    </xf>
    <xf numFmtId="165" fontId="8" fillId="6" borderId="17" xfId="0" applyNumberFormat="1" applyFont="1" applyFill="1" applyBorder="1" applyAlignment="1" applyProtection="1">
      <alignment horizontal="left"/>
      <protection locked="0"/>
    </xf>
    <xf numFmtId="0" fontId="8" fillId="6" borderId="17" xfId="0" applyFont="1" applyFill="1" applyBorder="1" applyAlignment="1" applyProtection="1">
      <alignment horizontal="left"/>
      <protection locked="0"/>
    </xf>
    <xf numFmtId="0" fontId="0" fillId="6" borderId="17" xfId="0" applyFill="1" applyBorder="1" applyProtection="1">
      <protection locked="0"/>
    </xf>
    <xf numFmtId="0" fontId="7" fillId="3" borderId="1" xfId="1" applyNumberFormat="1" applyFill="1" applyBorder="1" applyAlignment="1" applyProtection="1">
      <alignment horizontal="center" vertical="center" wrapText="1"/>
    </xf>
    <xf numFmtId="0" fontId="19" fillId="6" borderId="0" xfId="0" applyFont="1" applyFill="1"/>
    <xf numFmtId="0" fontId="8" fillId="8" borderId="0" xfId="1" applyFont="1" applyFill="1" applyAlignment="1">
      <alignment horizontal="center" vertical="center"/>
    </xf>
    <xf numFmtId="0" fontId="0" fillId="0" borderId="1" xfId="0" applyBorder="1" applyAlignment="1" applyProtection="1">
      <alignment horizontal="center" vertical="center" wrapText="1"/>
      <protection locked="0"/>
    </xf>
    <xf numFmtId="164" fontId="0" fillId="0" borderId="1" xfId="0" applyNumberFormat="1" applyBorder="1" applyAlignment="1" applyProtection="1">
      <alignment horizontal="center" vertical="center" wrapText="1"/>
      <protection locked="0"/>
    </xf>
    <xf numFmtId="49" fontId="0" fillId="0" borderId="1" xfId="0" applyNumberFormat="1" applyBorder="1" applyAlignment="1" applyProtection="1">
      <alignment horizontal="center" vertical="center" wrapText="1"/>
      <protection locked="0"/>
    </xf>
    <xf numFmtId="0" fontId="7" fillId="0" borderId="1" xfId="1" applyBorder="1" applyAlignment="1" applyProtection="1">
      <alignment horizontal="center" vertical="center" wrapText="1"/>
      <protection locked="0"/>
    </xf>
    <xf numFmtId="165" fontId="0" fillId="10" borderId="1" xfId="0" applyNumberFormat="1" applyFill="1" applyBorder="1" applyAlignment="1" applyProtection="1">
      <alignment horizontal="center" vertical="center" wrapText="1"/>
      <protection locked="0"/>
    </xf>
    <xf numFmtId="0" fontId="0" fillId="10" borderId="1" xfId="0" applyFill="1" applyBorder="1" applyAlignment="1" applyProtection="1">
      <alignment horizontal="center" vertical="center" wrapText="1"/>
      <protection locked="0"/>
    </xf>
    <xf numFmtId="49" fontId="0" fillId="10" borderId="1" xfId="0" applyNumberFormat="1" applyFill="1" applyBorder="1" applyAlignment="1" applyProtection="1">
      <alignment horizontal="center" vertical="center" wrapText="1"/>
      <protection locked="0"/>
    </xf>
    <xf numFmtId="0" fontId="0" fillId="10" borderId="1" xfId="0" applyFill="1" applyBorder="1" applyAlignment="1">
      <alignment horizontal="center" vertical="center" wrapText="1"/>
    </xf>
    <xf numFmtId="14" fontId="0" fillId="0" borderId="1" xfId="0" applyNumberFormat="1" applyBorder="1" applyAlignment="1" applyProtection="1">
      <alignment horizontal="center" vertical="center" wrapText="1"/>
      <protection locked="0"/>
    </xf>
    <xf numFmtId="0" fontId="7" fillId="10" borderId="1" xfId="1" applyFill="1" applyBorder="1" applyAlignment="1" applyProtection="1">
      <alignment horizontal="center" vertical="center" wrapText="1"/>
    </xf>
    <xf numFmtId="0" fontId="8" fillId="8" borderId="0" xfId="0" applyFont="1" applyFill="1" applyAlignment="1">
      <alignment horizontal="center" vertical="center"/>
    </xf>
    <xf numFmtId="0" fontId="8" fillId="10" borderId="1" xfId="0" applyFont="1" applyFill="1" applyBorder="1" applyAlignment="1" applyProtection="1">
      <alignment horizontal="center" vertical="center" wrapText="1"/>
      <protection locked="0"/>
    </xf>
    <xf numFmtId="0" fontId="7" fillId="11" borderId="1" xfId="1" applyFill="1" applyBorder="1" applyAlignment="1" applyProtection="1">
      <alignment horizontal="center" vertical="center" wrapText="1"/>
    </xf>
    <xf numFmtId="165" fontId="0" fillId="11" borderId="1" xfId="0" applyNumberFormat="1" applyFill="1" applyBorder="1" applyAlignment="1" applyProtection="1">
      <alignment horizontal="center" vertical="center" wrapText="1"/>
      <protection locked="0"/>
    </xf>
    <xf numFmtId="0" fontId="0" fillId="11" borderId="1" xfId="0" applyFill="1" applyBorder="1" applyAlignment="1" applyProtection="1">
      <alignment horizontal="center" vertical="center" wrapText="1"/>
      <protection locked="0"/>
    </xf>
    <xf numFmtId="0" fontId="8" fillId="11" borderId="1" xfId="0" applyFont="1" applyFill="1" applyBorder="1" applyAlignment="1" applyProtection="1">
      <alignment horizontal="center" vertical="center" wrapText="1"/>
      <protection locked="0"/>
    </xf>
    <xf numFmtId="49" fontId="8" fillId="11" borderId="1" xfId="0" applyNumberFormat="1" applyFont="1" applyFill="1" applyBorder="1" applyAlignment="1" applyProtection="1">
      <alignment horizontal="center" vertical="center" wrapText="1"/>
      <protection locked="0"/>
    </xf>
    <xf numFmtId="0" fontId="0" fillId="11" borderId="1" xfId="0" applyFill="1" applyBorder="1" applyAlignment="1">
      <alignment horizontal="center" vertical="center" wrapText="1"/>
    </xf>
    <xf numFmtId="49" fontId="0" fillId="11" borderId="1" xfId="0" applyNumberFormat="1" applyFill="1" applyBorder="1" applyAlignment="1" applyProtection="1">
      <alignment horizontal="center" vertical="center" wrapText="1"/>
      <protection locked="0"/>
    </xf>
    <xf numFmtId="0" fontId="0" fillId="8" borderId="0" xfId="0" applyFill="1" applyAlignment="1">
      <alignment vertical="center"/>
    </xf>
    <xf numFmtId="3" fontId="8" fillId="6" borderId="17" xfId="0" quotePrefix="1" applyNumberFormat="1" applyFont="1" applyFill="1" applyBorder="1" applyAlignment="1" applyProtection="1">
      <alignment horizontal="left"/>
      <protection locked="0"/>
    </xf>
    <xf numFmtId="3" fontId="8" fillId="6" borderId="17" xfId="0" applyNumberFormat="1" applyFont="1" applyFill="1" applyBorder="1" applyAlignment="1" applyProtection="1">
      <alignment horizontal="left"/>
      <protection locked="0"/>
    </xf>
    <xf numFmtId="14" fontId="8" fillId="6" borderId="17" xfId="0" applyNumberFormat="1" applyFont="1" applyFill="1" applyBorder="1" applyAlignment="1" applyProtection="1">
      <alignment horizontal="center" vertical="center"/>
      <protection locked="0"/>
    </xf>
    <xf numFmtId="0" fontId="17" fillId="6" borderId="0" xfId="0" applyFont="1" applyFill="1" applyProtection="1">
      <protection locked="0"/>
    </xf>
    <xf numFmtId="0" fontId="18" fillId="3" borderId="3" xfId="1" applyFont="1" applyFill="1" applyBorder="1" applyAlignment="1">
      <alignment horizontal="center" vertical="center"/>
    </xf>
    <xf numFmtId="0" fontId="18" fillId="3" borderId="5" xfId="1" applyFont="1" applyFill="1" applyBorder="1" applyAlignment="1">
      <alignment horizontal="center" vertical="center"/>
    </xf>
    <xf numFmtId="0" fontId="5" fillId="2" borderId="2" xfId="0" applyFont="1" applyFill="1" applyBorder="1" applyAlignment="1">
      <alignment horizontal="center" vertical="center" wrapText="1"/>
    </xf>
    <xf numFmtId="0" fontId="5" fillId="2" borderId="8" xfId="0" applyFont="1" applyFill="1" applyBorder="1" applyAlignment="1">
      <alignment horizontal="center" vertical="center" wrapText="1"/>
    </xf>
    <xf numFmtId="0" fontId="7" fillId="3" borderId="3" xfId="1" applyNumberFormat="1" applyFill="1" applyBorder="1" applyAlignment="1" applyProtection="1">
      <alignment horizontal="center" vertical="center" wrapText="1"/>
    </xf>
    <xf numFmtId="0" fontId="7" fillId="3" borderId="4" xfId="1" applyNumberFormat="1" applyFill="1" applyBorder="1" applyAlignment="1" applyProtection="1">
      <alignment horizontal="center" vertical="center" wrapText="1"/>
    </xf>
    <xf numFmtId="0" fontId="5" fillId="2" borderId="7" xfId="0" applyFont="1" applyFill="1" applyBorder="1" applyAlignment="1">
      <alignment horizontal="center" vertical="center" wrapText="1"/>
    </xf>
    <xf numFmtId="0" fontId="10" fillId="0" borderId="1" xfId="0" applyFont="1" applyBorder="1" applyAlignment="1">
      <alignment horizontal="center" vertical="center" wrapText="1"/>
    </xf>
    <xf numFmtId="0" fontId="5" fillId="7" borderId="7" xfId="0" applyFont="1" applyFill="1" applyBorder="1" applyAlignment="1">
      <alignment horizontal="center" vertical="center" wrapText="1"/>
    </xf>
    <xf numFmtId="0" fontId="5" fillId="7" borderId="2" xfId="0" applyFont="1" applyFill="1" applyBorder="1" applyAlignment="1">
      <alignment horizontal="center" vertical="center" wrapText="1"/>
    </xf>
    <xf numFmtId="0" fontId="0" fillId="7" borderId="4" xfId="0" applyFill="1" applyBorder="1" applyAlignment="1">
      <alignment horizontal="center" vertical="center"/>
    </xf>
    <xf numFmtId="0" fontId="0" fillId="7" borderId="5" xfId="0" applyFill="1" applyBorder="1" applyAlignment="1">
      <alignment horizontal="center" vertical="center"/>
    </xf>
    <xf numFmtId="0" fontId="6" fillId="6" borderId="27" xfId="0" applyFont="1" applyFill="1" applyBorder="1" applyAlignment="1" applyProtection="1">
      <alignment horizontal="left" vertical="center" wrapText="1" shrinkToFit="1"/>
      <protection locked="0"/>
    </xf>
    <xf numFmtId="0" fontId="6" fillId="6" borderId="28" xfId="0" applyFont="1" applyFill="1" applyBorder="1" applyAlignment="1" applyProtection="1">
      <alignment horizontal="left" vertical="center" wrapText="1" shrinkToFit="1"/>
      <protection locked="0"/>
    </xf>
    <xf numFmtId="0" fontId="8" fillId="6" borderId="27" xfId="0" applyFont="1" applyFill="1" applyBorder="1" applyAlignment="1" applyProtection="1">
      <alignment horizontal="left" vertical="center"/>
      <protection locked="0"/>
    </xf>
    <xf numFmtId="0" fontId="8" fillId="6" borderId="28" xfId="0" applyFont="1" applyFill="1" applyBorder="1" applyAlignment="1" applyProtection="1">
      <alignment horizontal="left" vertical="center"/>
      <protection locked="0"/>
    </xf>
    <xf numFmtId="165" fontId="8" fillId="6" borderId="27" xfId="0" applyNumberFormat="1" applyFont="1" applyFill="1" applyBorder="1" applyAlignment="1" applyProtection="1">
      <alignment horizontal="center" vertical="center"/>
      <protection locked="0"/>
    </xf>
    <xf numFmtId="0" fontId="8" fillId="6" borderId="28" xfId="0" applyFont="1" applyFill="1" applyBorder="1" applyAlignment="1" applyProtection="1">
      <alignment horizontal="center" vertical="center"/>
      <protection locked="0"/>
    </xf>
    <xf numFmtId="0" fontId="0" fillId="6" borderId="25" xfId="0" applyFill="1" applyBorder="1" applyAlignment="1">
      <alignment horizontal="center" vertical="center"/>
    </xf>
    <xf numFmtId="0" fontId="0" fillId="6" borderId="26" xfId="0" applyFill="1" applyBorder="1" applyAlignment="1">
      <alignment horizontal="center" vertical="center"/>
    </xf>
    <xf numFmtId="0" fontId="8" fillId="6" borderId="27" xfId="0" applyFont="1" applyFill="1" applyBorder="1" applyAlignment="1" applyProtection="1">
      <alignment horizontal="center" vertical="center"/>
      <protection locked="0"/>
    </xf>
    <xf numFmtId="0" fontId="8" fillId="6" borderId="31" xfId="0" applyFont="1" applyFill="1" applyBorder="1" applyAlignment="1" applyProtection="1">
      <alignment horizontal="left"/>
      <protection locked="0"/>
    </xf>
    <xf numFmtId="0" fontId="0" fillId="6" borderId="32" xfId="0" applyFill="1" applyBorder="1" applyAlignment="1" applyProtection="1">
      <alignment horizontal="left"/>
      <protection locked="0"/>
    </xf>
    <xf numFmtId="0" fontId="0" fillId="6" borderId="33" xfId="0" applyFill="1" applyBorder="1" applyAlignment="1" applyProtection="1">
      <alignment horizontal="left"/>
      <protection locked="0"/>
    </xf>
    <xf numFmtId="14" fontId="8" fillId="6" borderId="28" xfId="0" applyNumberFormat="1" applyFont="1" applyFill="1" applyBorder="1" applyAlignment="1" applyProtection="1">
      <alignment horizontal="center" vertical="center"/>
      <protection locked="0"/>
    </xf>
    <xf numFmtId="0" fontId="8" fillId="6" borderId="27" xfId="0" applyFont="1" applyFill="1" applyBorder="1" applyAlignment="1" applyProtection="1">
      <alignment horizontal="left" vertical="center" wrapText="1"/>
      <protection locked="0"/>
    </xf>
    <xf numFmtId="0" fontId="8" fillId="6" borderId="28" xfId="0" applyFont="1" applyFill="1" applyBorder="1" applyAlignment="1" applyProtection="1">
      <alignment horizontal="left" vertical="center" wrapText="1"/>
      <protection locked="0"/>
    </xf>
    <xf numFmtId="165" fontId="8" fillId="6" borderId="27" xfId="0" applyNumberFormat="1" applyFont="1" applyFill="1" applyBorder="1" applyAlignment="1" applyProtection="1">
      <alignment horizontal="center" vertical="center" wrapText="1"/>
      <protection locked="0"/>
    </xf>
    <xf numFmtId="0" fontId="8" fillId="6" borderId="28" xfId="0" applyFont="1" applyFill="1" applyBorder="1" applyAlignment="1" applyProtection="1">
      <alignment horizontal="center" vertical="center" wrapText="1"/>
      <protection locked="0"/>
    </xf>
  </cellXfs>
  <cellStyles count="19">
    <cellStyle name="Bad 2" xfId="18" xr:uid="{00000000-0005-0000-0000-000000000000}"/>
    <cellStyle name="Hyperlink" xfId="1" builtinId="8"/>
    <cellStyle name="Normal" xfId="0" builtinId="0"/>
    <cellStyle name="Normal 2" xfId="2" xr:uid="{00000000-0005-0000-0000-000003000000}"/>
    <cellStyle name="Normal 3" xfId="4" xr:uid="{00000000-0005-0000-0000-000004000000}"/>
    <cellStyle name="Normal 4" xfId="3" xr:uid="{00000000-0005-0000-0000-000005000000}"/>
    <cellStyle name="Normal 4 2" xfId="7" xr:uid="{00000000-0005-0000-0000-000006000000}"/>
    <cellStyle name="Normal 4 2 2" xfId="11" xr:uid="{00000000-0005-0000-0000-000007000000}"/>
    <cellStyle name="Normal 4 2 2 2" xfId="17" xr:uid="{00000000-0005-0000-0000-000008000000}"/>
    <cellStyle name="Normal 4 2 3" xfId="14" xr:uid="{00000000-0005-0000-0000-000009000000}"/>
    <cellStyle name="Normal 4 3" xfId="8" xr:uid="{00000000-0005-0000-0000-00000A000000}"/>
    <cellStyle name="Normal 4 3 2" xfId="15" xr:uid="{00000000-0005-0000-0000-00000B000000}"/>
    <cellStyle name="Normal 4 4" xfId="12" xr:uid="{00000000-0005-0000-0000-00000C000000}"/>
    <cellStyle name="Normal 5" xfId="6" xr:uid="{00000000-0005-0000-0000-00000D000000}"/>
    <cellStyle name="Normal 5 2" xfId="10" xr:uid="{00000000-0005-0000-0000-00000E000000}"/>
    <cellStyle name="Normal 6" xfId="5" xr:uid="{00000000-0005-0000-0000-00000F000000}"/>
    <cellStyle name="Normal 6 2" xfId="9" xr:uid="{00000000-0005-0000-0000-000010000000}"/>
    <cellStyle name="Normal 6 2 2" xfId="16" xr:uid="{00000000-0005-0000-0000-000011000000}"/>
    <cellStyle name="Normal 6 3" xfId="13" xr:uid="{00000000-0005-0000-0000-000012000000}"/>
  </cellStyles>
  <dxfs count="2">
    <dxf>
      <font>
        <b/>
        <i val="0"/>
      </font>
      <fill>
        <patternFill>
          <bgColor rgb="FFFFC000"/>
        </patternFill>
      </fill>
    </dxf>
    <dxf>
      <font>
        <b/>
        <i val="0"/>
      </font>
      <fill>
        <patternFill>
          <bgColor theme="0" tint="-0.2499465926084170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D9D9D9"/>
      <color rgb="FF000066"/>
      <color rgb="FF00FFFF"/>
      <color rgb="FFFFFFCC"/>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1" i="0" u="none" strike="noStrike" kern="1200" spc="0" baseline="0">
                <a:solidFill>
                  <a:srgbClr val="000000"/>
                </a:solidFill>
                <a:latin typeface="Arial Nova"/>
                <a:ea typeface="Arial Nova"/>
                <a:cs typeface="Arial Nova"/>
              </a:defRPr>
            </a:pPr>
            <a:r>
              <a:rPr lang="en-US"/>
              <a:t>RTB Quality Metrics</a:t>
            </a:r>
          </a:p>
        </c:rich>
      </c:tx>
      <c:overlay val="0"/>
      <c:spPr>
        <a:noFill/>
        <a:ln>
          <a:noFill/>
        </a:ln>
        <a:effectLst/>
      </c:spPr>
      <c:txPr>
        <a:bodyPr rot="0" spcFirstLastPara="1" vertOverflow="ellipsis" vert="horz" wrap="square" anchor="ctr" anchorCtr="1"/>
        <a:lstStyle/>
        <a:p>
          <a:pPr>
            <a:defRPr sz="2400" b="1" i="0" u="none" strike="noStrike" kern="1200" spc="0" baseline="0">
              <a:solidFill>
                <a:srgbClr val="000000"/>
              </a:solidFill>
              <a:latin typeface="Arial Nova"/>
              <a:ea typeface="Arial Nova"/>
              <a:cs typeface="Arial Nova"/>
            </a:defRPr>
          </a:pPr>
          <a:endParaRPr lang="en-US"/>
        </a:p>
      </c:txPr>
    </c:title>
    <c:autoTitleDeleted val="0"/>
    <c:plotArea>
      <c:layout/>
      <c:barChart>
        <c:barDir val="col"/>
        <c:grouping val="stacked"/>
        <c:varyColors val="0"/>
        <c:ser>
          <c:idx val="0"/>
          <c:order val="0"/>
          <c:tx>
            <c:v>COMPLETE</c:v>
          </c:tx>
          <c:spPr>
            <a:solidFill>
              <a:schemeClr val="accent1"/>
            </a:solidFill>
            <a:ln>
              <a:noFill/>
            </a:ln>
            <a:effectLst/>
          </c:spPr>
          <c:invertIfNegative val="0"/>
          <c:cat>
            <c:numLit>
              <c:formatCode>General</c:formatCode>
              <c:ptCount val="2"/>
              <c:pt idx="0">
                <c:v>2020</c:v>
              </c:pt>
              <c:pt idx="1">
                <c:v>2021</c:v>
              </c:pt>
            </c:numLit>
          </c:cat>
          <c:val>
            <c:numLit>
              <c:formatCode>General</c:formatCode>
              <c:ptCount val="2"/>
              <c:pt idx="0">
                <c:v>10</c:v>
              </c:pt>
              <c:pt idx="1">
                <c:v>21</c:v>
              </c:pt>
            </c:numLit>
          </c:val>
          <c:extLst>
            <c:ext xmlns:c16="http://schemas.microsoft.com/office/drawing/2014/chart" uri="{C3380CC4-5D6E-409C-BE32-E72D297353CC}">
              <c16:uniqueId val="{00000000-7A74-486D-8EF0-E60B86ADA771}"/>
            </c:ext>
          </c:extLst>
        </c:ser>
        <c:ser>
          <c:idx val="1"/>
          <c:order val="1"/>
          <c:tx>
            <c:v>OPEN</c:v>
          </c:tx>
          <c:spPr>
            <a:solidFill>
              <a:schemeClr val="accent2"/>
            </a:solidFill>
            <a:ln>
              <a:noFill/>
            </a:ln>
            <a:effectLst/>
          </c:spPr>
          <c:invertIfNegative val="0"/>
          <c:dLbls>
            <c:dLbl>
              <c:idx val="0"/>
              <c:layout>
                <c:manualLayout>
                  <c:x val="0"/>
                  <c:y val="-3.9470836978710927E-2"/>
                </c:manualLayout>
              </c:layout>
              <c:tx>
                <c:rich>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r>
                      <a:rPr lang="en-US"/>
                      <a:t>83% Complete</a:t>
                    </a:r>
                  </a:p>
                </c:rich>
              </c:tx>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7A74-486D-8EF0-E60B86ADA771}"/>
                </c:ext>
              </c:extLst>
            </c:dLbl>
            <c:dLbl>
              <c:idx val="1"/>
              <c:layout>
                <c:manualLayout>
                  <c:x val="0"/>
                  <c:y val="-7.7822980460775737E-2"/>
                </c:manualLayout>
              </c:layout>
              <c:tx>
                <c:rich>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r>
                      <a:rPr lang="en-US"/>
                      <a:t>81% Complete</a:t>
                    </a:r>
                  </a:p>
                </c:rich>
              </c:tx>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7A74-486D-8EF0-E60B86ADA7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2"/>
              <c:pt idx="0">
                <c:v>2020</c:v>
              </c:pt>
              <c:pt idx="1">
                <c:v>2021</c:v>
              </c:pt>
            </c:numLit>
          </c:cat>
          <c:val>
            <c:numLit>
              <c:formatCode>General</c:formatCode>
              <c:ptCount val="2"/>
              <c:pt idx="0">
                <c:v>2</c:v>
              </c:pt>
              <c:pt idx="1">
                <c:v>5</c:v>
              </c:pt>
            </c:numLit>
          </c:val>
          <c:extLst>
            <c:ext xmlns:c16="http://schemas.microsoft.com/office/drawing/2014/chart" uri="{C3380CC4-5D6E-409C-BE32-E72D297353CC}">
              <c16:uniqueId val="{00000001-7A74-486D-8EF0-E60B86ADA771}"/>
            </c:ext>
          </c:extLst>
        </c:ser>
        <c:dLbls>
          <c:showLegendKey val="0"/>
          <c:showVal val="0"/>
          <c:showCatName val="0"/>
          <c:showSerName val="0"/>
          <c:showPercent val="0"/>
          <c:showBubbleSize val="0"/>
        </c:dLbls>
        <c:gapWidth val="219"/>
        <c:overlap val="100"/>
        <c:axId val="232506296"/>
        <c:axId val="234913440"/>
      </c:barChart>
      <c:catAx>
        <c:axId val="232506296"/>
        <c:scaling>
          <c:orientation val="minMax"/>
        </c:scaling>
        <c:delete val="0"/>
        <c:axPos val="b"/>
        <c:title>
          <c:tx>
            <c:rich>
              <a:bodyPr rot="0" spcFirstLastPara="1" vertOverflow="ellipsis" vert="horz" wrap="square" anchor="ctr" anchorCtr="1"/>
              <a:lstStyle/>
              <a:p>
                <a:pPr>
                  <a:defRPr sz="15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5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500" b="0" i="0" u="none" strike="noStrike" kern="1200" baseline="0">
                <a:solidFill>
                  <a:schemeClr val="tx1">
                    <a:lumMod val="65000"/>
                    <a:lumOff val="35000"/>
                  </a:schemeClr>
                </a:solidFill>
                <a:latin typeface="+mn-lt"/>
                <a:ea typeface="+mn-ea"/>
                <a:cs typeface="+mn-cs"/>
              </a:defRPr>
            </a:pPr>
            <a:endParaRPr lang="en-US"/>
          </a:p>
        </c:txPr>
        <c:crossAx val="234913440"/>
        <c:crosses val="autoZero"/>
        <c:auto val="1"/>
        <c:lblAlgn val="ctr"/>
        <c:lblOffset val="100"/>
        <c:noMultiLvlLbl val="0"/>
      </c:catAx>
      <c:valAx>
        <c:axId val="234913440"/>
        <c:scaling>
          <c:orientation val="minMax"/>
          <c:max val="3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32506296"/>
        <c:crosses val="autoZero"/>
        <c:crossBetween val="between"/>
        <c:maj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7</xdr:col>
      <xdr:colOff>71511</xdr:colOff>
      <xdr:row>0</xdr:row>
      <xdr:rowOff>0</xdr:rowOff>
    </xdr:from>
    <xdr:to>
      <xdr:col>8</xdr:col>
      <xdr:colOff>880</xdr:colOff>
      <xdr:row>8</xdr:row>
      <xdr:rowOff>34176</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8125" b="7918"/>
        <a:stretch/>
      </xdr:blipFill>
      <xdr:spPr bwMode="auto">
        <a:xfrm>
          <a:off x="3614811" y="0"/>
          <a:ext cx="2283949" cy="10857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314325</xdr:colOff>
          <xdr:row>53</xdr:row>
          <xdr:rowOff>47625</xdr:rowOff>
        </xdr:from>
        <xdr:to>
          <xdr:col>6</xdr:col>
          <xdr:colOff>1000125</xdr:colOff>
          <xdr:row>55</xdr:row>
          <xdr:rowOff>28575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Log</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257175</xdr:colOff>
          <xdr:row>53</xdr:row>
          <xdr:rowOff>47625</xdr:rowOff>
        </xdr:from>
        <xdr:to>
          <xdr:col>8</xdr:col>
          <xdr:colOff>95250</xdr:colOff>
          <xdr:row>55</xdr:row>
          <xdr:rowOff>28575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Save Changes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53</xdr:row>
          <xdr:rowOff>47625</xdr:rowOff>
        </xdr:from>
        <xdr:to>
          <xdr:col>11</xdr:col>
          <xdr:colOff>314325</xdr:colOff>
          <xdr:row>55</xdr:row>
          <xdr:rowOff>28575</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0200-00000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Save As PDF</a:t>
              </a:r>
            </a:p>
          </xdr:txBody>
        </xdr:sp>
        <xdr:clientData fPrintsWithSheet="0"/>
      </xdr:twoCellAnchor>
    </mc:Choice>
    <mc:Fallback/>
  </mc:AlternateContent>
  <xdr:twoCellAnchor>
    <xdr:from>
      <xdr:col>7</xdr:col>
      <xdr:colOff>194945</xdr:colOff>
      <xdr:row>8</xdr:row>
      <xdr:rowOff>8833</xdr:rowOff>
    </xdr:from>
    <xdr:to>
      <xdr:col>7</xdr:col>
      <xdr:colOff>2186306</xdr:colOff>
      <xdr:row>10</xdr:row>
      <xdr:rowOff>60960</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3785870" y="1047058"/>
          <a:ext cx="1991361" cy="395027"/>
          <a:chOff x="3759199" y="1060393"/>
          <a:chExt cx="1991361" cy="407727"/>
        </a:xfrm>
      </xdr:grpSpPr>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20091" b="25648"/>
          <a:stretch/>
        </xdr:blipFill>
        <xdr:spPr bwMode="auto">
          <a:xfrm>
            <a:off x="4400234" y="1152258"/>
            <a:ext cx="805813" cy="22399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1236" r="16740"/>
          <a:stretch/>
        </xdr:blipFill>
        <xdr:spPr bwMode="auto">
          <a:xfrm>
            <a:off x="3759199" y="1072159"/>
            <a:ext cx="614681" cy="38419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8" name="Picture 7">
            <a:extLst>
              <a:ext uri="{FF2B5EF4-FFF2-40B4-BE49-F238E27FC236}">
                <a16:creationId xmlns:a16="http://schemas.microsoft.com/office/drawing/2014/main" id="{00000000-0008-0000-0200-000008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19421" r="22953" b="-808"/>
          <a:stretch/>
        </xdr:blipFill>
        <xdr:spPr bwMode="auto">
          <a:xfrm>
            <a:off x="5232400" y="1060393"/>
            <a:ext cx="518160" cy="40772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19</xdr:col>
      <xdr:colOff>209550</xdr:colOff>
      <xdr:row>42</xdr:row>
      <xdr:rowOff>57150</xdr:rowOff>
    </xdr:to>
    <xdr:graphicFrame macro="">
      <xdr:nvGraphicFramePr>
        <xdr:cNvPr id="3" name="Metrics">
          <a:extLst>
            <a:ext uri="{FF2B5EF4-FFF2-40B4-BE49-F238E27FC236}">
              <a16:creationId xmlns:a16="http://schemas.microsoft.com/office/drawing/2014/main" id="{00000000-0008-0000-05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0.24611</cdr:x>
      <cdr:y>0.07593</cdr:y>
    </cdr:from>
    <cdr:to>
      <cdr:x>0.75361</cdr:x>
      <cdr:y>0.17157</cdr:y>
    </cdr:to>
    <cdr:sp macro="" textlink="">
      <cdr:nvSpPr>
        <cdr:cNvPr id="2" name="TextBox 1">
          <a:extLst xmlns:a="http://schemas.openxmlformats.org/drawingml/2006/main">
            <a:ext uri="{FF2B5EF4-FFF2-40B4-BE49-F238E27FC236}">
              <a16:creationId xmlns:a16="http://schemas.microsoft.com/office/drawing/2014/main" id="{E7D3CF1A-8F87-424A-975E-FBF18F12540D}"/>
            </a:ext>
          </a:extLst>
        </cdr:cNvPr>
        <cdr:cNvSpPr txBox="1"/>
      </cdr:nvSpPr>
      <cdr:spPr>
        <a:xfrm xmlns:a="http://schemas.openxmlformats.org/drawingml/2006/main">
          <a:off x="2813050" y="520700"/>
          <a:ext cx="5800725" cy="655949"/>
        </a:xfrm>
        <a:prstGeom xmlns:a="http://schemas.openxmlformats.org/drawingml/2006/main" prst="rect">
          <a:avLst/>
        </a:prstGeom>
      </cdr:spPr>
      <cdr:txBody>
        <a:bodyPr xmlns:a="http://schemas.openxmlformats.org/drawingml/2006/main" vertOverflow="clip" vert="horz" rtlCol="0">
          <a:spAutoFit/>
        </a:bodyPr>
        <a:lstStyle xmlns:a="http://schemas.openxmlformats.org/drawingml/2006/main"/>
        <a:p xmlns:a="http://schemas.openxmlformats.org/drawingml/2006/main">
          <a:pPr algn="ctr"/>
          <a:r>
            <a:rPr lang="en-US" sz="1800" b="1"/>
            <a:t>Total Completion: 82% Complete</a:t>
          </a:r>
        </a:p>
        <a:p xmlns:a="http://schemas.openxmlformats.org/drawingml/2006/main">
          <a:pPr algn="ctr"/>
          <a:r>
            <a:rPr lang="en-US" sz="1800" b="1"/>
            <a:t>Average Completion Time: 62 Business Days</a:t>
          </a:r>
        </a:p>
      </cdr:txBody>
    </cdr:sp>
  </cdr:relSizeAnchor>
  <cdr:relSizeAnchor xmlns:cdr="http://schemas.openxmlformats.org/drawingml/2006/chartDrawing">
    <cdr:from>
      <cdr:x>0</cdr:x>
      <cdr:y>0.00741</cdr:y>
    </cdr:from>
    <cdr:to>
      <cdr:x>1</cdr:x>
      <cdr:y>0.03023</cdr:y>
    </cdr:to>
    <cdr:sp macro="" textlink="">
      <cdr:nvSpPr>
        <cdr:cNvPr id="3" name="TextBox 2">
          <a:extLst xmlns:a="http://schemas.openxmlformats.org/drawingml/2006/main">
            <a:ext uri="{FF2B5EF4-FFF2-40B4-BE49-F238E27FC236}">
              <a16:creationId xmlns:a16="http://schemas.microsoft.com/office/drawing/2014/main" id="{AF3F6E49-C913-40AF-ABB0-B1AE5C496926}"/>
            </a:ext>
          </a:extLst>
        </cdr:cNvPr>
        <cdr:cNvSpPr txBox="1"/>
      </cdr:nvSpPr>
      <cdr:spPr>
        <a:xfrm xmlns:a="http://schemas.openxmlformats.org/drawingml/2006/main">
          <a:off x="0" y="50800"/>
          <a:ext cx="11430000" cy="156518"/>
        </a:xfrm>
        <a:prstGeom xmlns:a="http://schemas.openxmlformats.org/drawingml/2006/main" prst="rect">
          <a:avLst/>
        </a:prstGeom>
      </cdr:spPr>
      <cdr:txBody>
        <a:bodyPr xmlns:a="http://schemas.openxmlformats.org/drawingml/2006/main" vertOverflow="clip" vert="horz" tIns="0" bIns="0" rtlCol="0">
          <a:spAutoFit/>
        </a:bodyPr>
        <a:lstStyle xmlns:a="http://schemas.openxmlformats.org/drawingml/2006/main"/>
        <a:p xmlns:a="http://schemas.openxmlformats.org/drawingml/2006/main">
          <a:pPr algn="r"/>
          <a:r>
            <a:rPr lang="en-US" sz="1000" b="1">
              <a:solidFill>
                <a:srgbClr val="AFAFAF"/>
              </a:solidFill>
            </a:rPr>
            <a:t>7/28/2021 3:07:31 PM</a:t>
          </a:r>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customProperty" Target="../customProperty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T41"/>
  <sheetViews>
    <sheetView tabSelected="1" zoomScale="70" zoomScaleNormal="70" workbookViewId="0">
      <pane xSplit="7" ySplit="3" topLeftCell="H4" activePane="bottomRight" state="frozen"/>
      <selection pane="topRight" activeCell="H1" sqref="H1"/>
      <selection pane="bottomLeft" activeCell="A4" sqref="A4"/>
      <selection pane="bottomRight" activeCell="L35" sqref="L35"/>
    </sheetView>
  </sheetViews>
  <sheetFormatPr defaultColWidth="9.140625" defaultRowHeight="12.75" x14ac:dyDescent="0.2"/>
  <cols>
    <col min="1" max="1" width="20" style="47" customWidth="1"/>
    <col min="2" max="2" width="12" style="48" customWidth="1"/>
    <col min="3" max="3" width="8.7109375" style="47" customWidth="1"/>
    <col min="4" max="4" width="12.42578125" style="47" customWidth="1"/>
    <col min="5" max="5" width="24" style="47" customWidth="1"/>
    <col min="6" max="6" width="24.7109375" style="47" customWidth="1"/>
    <col min="7" max="7" width="15.7109375" style="47" customWidth="1"/>
    <col min="8" max="8" width="30.7109375" style="2" customWidth="1"/>
    <col min="9" max="9" width="58" style="47" customWidth="1"/>
    <col min="10" max="10" width="17.5703125" style="47" customWidth="1"/>
    <col min="11" max="11" width="19.5703125" style="47" customWidth="1"/>
    <col min="12" max="12" width="24.85546875" style="49" customWidth="1"/>
    <col min="13" max="13" width="20.7109375" style="47" customWidth="1"/>
    <col min="14" max="15" width="19.42578125" style="47" customWidth="1"/>
    <col min="16" max="16" width="22" style="47" customWidth="1"/>
    <col min="17" max="17" width="25.7109375" style="48" customWidth="1"/>
    <col min="18" max="18" width="23.5703125" style="47" customWidth="1"/>
    <col min="19" max="20" width="23.5703125" style="2" customWidth="1"/>
    <col min="21" max="23" width="20.7109375" style="1" customWidth="1"/>
    <col min="24" max="25" width="23.5703125" style="1" customWidth="1"/>
    <col min="26" max="28" width="20.7109375" style="1" customWidth="1"/>
    <col min="29" max="29" width="18.7109375" style="1" customWidth="1"/>
    <col min="30" max="30" width="20.7109375" style="1" customWidth="1"/>
    <col min="31" max="31" width="26.7109375" style="1" customWidth="1"/>
    <col min="32" max="32" width="24.7109375" style="1" customWidth="1"/>
    <col min="33" max="33" width="27.7109375" style="1" customWidth="1"/>
    <col min="34" max="35" width="29.5703125" style="1" customWidth="1"/>
    <col min="36" max="36" width="12.7109375" style="1" customWidth="1"/>
    <col min="37" max="37" width="20.42578125" style="1" customWidth="1"/>
    <col min="38" max="39" width="20.85546875" style="1" customWidth="1"/>
    <col min="40" max="40" width="23.42578125" style="1" customWidth="1"/>
    <col min="41" max="41" width="25" style="1" customWidth="1"/>
    <col min="42" max="42" width="18.42578125" style="1" customWidth="1"/>
    <col min="43" max="43" width="12.140625" style="1" customWidth="1"/>
    <col min="44" max="44" width="57.7109375" style="1" customWidth="1"/>
    <col min="45" max="45" width="9.42578125" style="1" customWidth="1"/>
    <col min="46" max="46" width="57.7109375" style="1" customWidth="1"/>
    <col min="47" max="47" width="9.42578125" style="1" customWidth="1"/>
    <col min="48" max="16384" width="9.140625" style="1"/>
  </cols>
  <sheetData>
    <row r="1" spans="1:20" s="7" customFormat="1" ht="38.25" customHeight="1" x14ac:dyDescent="0.2">
      <c r="A1" s="9" t="s">
        <v>39</v>
      </c>
      <c r="B1" s="85" t="s">
        <v>3</v>
      </c>
      <c r="C1" s="86"/>
      <c r="D1" s="9" t="s">
        <v>8</v>
      </c>
      <c r="E1" s="9" t="s">
        <v>35</v>
      </c>
      <c r="F1" s="58" t="s">
        <v>75</v>
      </c>
      <c r="G1" s="58" t="s">
        <v>76</v>
      </c>
      <c r="H1" s="89"/>
      <c r="I1" s="90"/>
      <c r="J1" s="90"/>
      <c r="K1" s="90"/>
      <c r="L1" s="90"/>
      <c r="M1" s="90"/>
      <c r="N1" s="90"/>
      <c r="O1" s="90"/>
      <c r="P1" s="90"/>
      <c r="Q1" s="90"/>
      <c r="R1" s="90"/>
      <c r="S1" s="90"/>
      <c r="T1" s="90"/>
    </row>
    <row r="2" spans="1:20" s="8" customFormat="1" ht="29.25" customHeight="1" x14ac:dyDescent="0.2">
      <c r="A2" s="91" t="s">
        <v>48</v>
      </c>
      <c r="B2" s="87"/>
      <c r="C2" s="87"/>
      <c r="D2" s="87"/>
      <c r="E2" s="87"/>
      <c r="F2" s="87"/>
      <c r="G2" s="87"/>
      <c r="H2" s="50"/>
      <c r="I2" s="50"/>
      <c r="J2" s="87"/>
      <c r="K2" s="87"/>
      <c r="L2" s="87"/>
      <c r="M2" s="87"/>
      <c r="N2" s="87"/>
      <c r="O2" s="87"/>
      <c r="P2" s="87"/>
      <c r="Q2" s="87"/>
      <c r="R2" s="87"/>
      <c r="S2" s="87"/>
      <c r="T2" s="88"/>
    </row>
    <row r="3" spans="1:20" s="8" customFormat="1" ht="51" customHeight="1" x14ac:dyDescent="0.2">
      <c r="A3" s="10" t="s">
        <v>9</v>
      </c>
      <c r="B3" s="11" t="s">
        <v>10</v>
      </c>
      <c r="C3" s="71" t="s">
        <v>79</v>
      </c>
      <c r="D3" s="12" t="s">
        <v>11</v>
      </c>
      <c r="E3" s="12" t="s">
        <v>226</v>
      </c>
      <c r="F3" s="60" t="s">
        <v>43</v>
      </c>
      <c r="G3" s="13" t="s">
        <v>44</v>
      </c>
      <c r="H3" s="13" t="s">
        <v>13</v>
      </c>
      <c r="I3" s="13" t="s">
        <v>22</v>
      </c>
      <c r="J3" s="80" t="s">
        <v>25</v>
      </c>
      <c r="K3" s="51" t="s">
        <v>15</v>
      </c>
      <c r="L3" s="14" t="s">
        <v>16</v>
      </c>
      <c r="M3" s="13" t="s">
        <v>17</v>
      </c>
      <c r="N3" s="13" t="s">
        <v>18</v>
      </c>
      <c r="O3" s="13" t="s">
        <v>19</v>
      </c>
      <c r="P3" s="13" t="s">
        <v>20</v>
      </c>
      <c r="Q3" s="15" t="s">
        <v>21</v>
      </c>
      <c r="R3" s="52" t="s">
        <v>1</v>
      </c>
      <c r="S3" s="53" t="s">
        <v>74</v>
      </c>
      <c r="T3" s="53" t="s">
        <v>7</v>
      </c>
    </row>
    <row r="4" spans="1:20" ht="66" customHeight="1" x14ac:dyDescent="0.2">
      <c r="A4" s="70" t="str">
        <f>HYPERLINK("\\temaznet\taymaceng\Controlled_Documents\APPROVED DOCUMENTS\FORMS-APPROVED\QC\QUALITY TRACKER\" &amp; YEAR(B4) &amp; " 8D's\" &amp; "8D-RTB20-1","8D-RTB20-1")</f>
        <v>8D-RTB20-1</v>
      </c>
      <c r="B4" s="65">
        <v>44021</v>
      </c>
      <c r="C4" s="66" t="s">
        <v>81</v>
      </c>
      <c r="D4" s="66" t="s">
        <v>71</v>
      </c>
      <c r="E4" s="66" t="s">
        <v>47</v>
      </c>
      <c r="F4" s="66"/>
      <c r="G4" s="65">
        <v>44105</v>
      </c>
      <c r="H4" s="72" t="s">
        <v>82</v>
      </c>
      <c r="I4" s="66" t="s">
        <v>123</v>
      </c>
      <c r="J4" s="66" t="s">
        <v>83</v>
      </c>
      <c r="K4" s="66"/>
      <c r="L4" s="67"/>
      <c r="M4" s="68" t="s">
        <v>77</v>
      </c>
      <c r="N4" s="68" t="s">
        <v>77</v>
      </c>
      <c r="O4" s="68" t="s">
        <v>77</v>
      </c>
      <c r="P4" s="68" t="s">
        <v>77</v>
      </c>
      <c r="Q4" s="65"/>
      <c r="R4" s="66" t="s">
        <v>78</v>
      </c>
      <c r="S4" s="68"/>
      <c r="T4" s="68"/>
    </row>
    <row r="5" spans="1:20" ht="66" hidden="1" customHeight="1" x14ac:dyDescent="0.2">
      <c r="A5" s="73" t="str">
        <f>HYPERLINK("\\temaznet\taymaceng\Controlled_Documents\APPROVED DOCUMENTS\FORMS-APPROVED\QC\QUALITY TRACKER\" &amp; YEAR(B5) &amp; " 8D's\" &amp; "8D-RTB20-2","8D-RTB20-2")</f>
        <v>8D-RTB20-2</v>
      </c>
      <c r="B5" s="74">
        <v>44028</v>
      </c>
      <c r="C5" s="75" t="s">
        <v>81</v>
      </c>
      <c r="D5" s="75" t="s">
        <v>70</v>
      </c>
      <c r="E5" s="75" t="s">
        <v>47</v>
      </c>
      <c r="F5" s="76" t="s">
        <v>142</v>
      </c>
      <c r="G5" s="74">
        <v>44105</v>
      </c>
      <c r="H5" s="76" t="s">
        <v>85</v>
      </c>
      <c r="I5" s="76" t="s">
        <v>86</v>
      </c>
      <c r="J5" s="75" t="s">
        <v>117</v>
      </c>
      <c r="K5" s="75" t="s">
        <v>98</v>
      </c>
      <c r="L5" s="79" t="s">
        <v>98</v>
      </c>
      <c r="M5" s="78" t="s">
        <v>101</v>
      </c>
      <c r="N5" s="78" t="s">
        <v>101</v>
      </c>
      <c r="O5" s="78" t="s">
        <v>101</v>
      </c>
      <c r="P5" s="78" t="s">
        <v>101</v>
      </c>
      <c r="Q5" s="74">
        <v>44202</v>
      </c>
      <c r="R5" s="75" t="s">
        <v>101</v>
      </c>
      <c r="S5" s="78" t="s">
        <v>70</v>
      </c>
      <c r="T5" s="78" t="s">
        <v>205</v>
      </c>
    </row>
    <row r="6" spans="1:20" ht="66" hidden="1" customHeight="1" x14ac:dyDescent="0.2">
      <c r="A6" s="73" t="str">
        <f>HYPERLINK("\\temaznet\taymaceng\Controlled_Documents\APPROVED DOCUMENTS\FORMS-APPROVED\QC\QUALITY TRACKER\" &amp; YEAR(B6) &amp; " 8D's\" &amp; "8D-RTB20-3","8D-RTB20-3")</f>
        <v>8D-RTB20-3</v>
      </c>
      <c r="B6" s="74">
        <v>44028</v>
      </c>
      <c r="C6" s="75" t="s">
        <v>80</v>
      </c>
      <c r="D6" s="75" t="s">
        <v>70</v>
      </c>
      <c r="E6" s="75" t="s">
        <v>47</v>
      </c>
      <c r="F6" s="76" t="s">
        <v>96</v>
      </c>
      <c r="G6" s="74">
        <v>44105</v>
      </c>
      <c r="H6" s="76" t="s">
        <v>124</v>
      </c>
      <c r="I6" s="76" t="s">
        <v>129</v>
      </c>
      <c r="J6" s="75">
        <v>3548</v>
      </c>
      <c r="K6" s="75" t="s">
        <v>128</v>
      </c>
      <c r="L6" s="77">
        <v>785</v>
      </c>
      <c r="M6" s="78" t="s">
        <v>101</v>
      </c>
      <c r="N6" s="78" t="s">
        <v>101</v>
      </c>
      <c r="O6" s="78" t="s">
        <v>101</v>
      </c>
      <c r="P6" s="78" t="s">
        <v>101</v>
      </c>
      <c r="Q6" s="74">
        <v>44090</v>
      </c>
      <c r="R6" s="75" t="s">
        <v>101</v>
      </c>
      <c r="S6" s="78" t="s">
        <v>70</v>
      </c>
      <c r="T6" s="78" t="s">
        <v>130</v>
      </c>
    </row>
    <row r="7" spans="1:20" ht="66" hidden="1" customHeight="1" x14ac:dyDescent="0.2">
      <c r="A7" s="73" t="str">
        <f>HYPERLINK("\\temaznet\taymaceng\Controlled_Documents\APPROVED DOCUMENTS\FORMS-APPROVED\QC\QUALITY TRACKER\" &amp; YEAR(B7) &amp; " 8D's\" &amp; "8D-RTB20-4","8D-RTB20-4")</f>
        <v>8D-RTB20-4</v>
      </c>
      <c r="B7" s="74">
        <v>44028</v>
      </c>
      <c r="C7" s="75" t="s">
        <v>80</v>
      </c>
      <c r="D7" s="75" t="s">
        <v>70</v>
      </c>
      <c r="E7" s="75" t="s">
        <v>47</v>
      </c>
      <c r="F7" s="75" t="s">
        <v>118</v>
      </c>
      <c r="G7" s="74">
        <v>44089</v>
      </c>
      <c r="H7" s="76" t="s">
        <v>88</v>
      </c>
      <c r="I7" s="76" t="s">
        <v>89</v>
      </c>
      <c r="J7" s="75">
        <v>2146</v>
      </c>
      <c r="K7" s="75" t="s">
        <v>98</v>
      </c>
      <c r="L7" s="79" t="s">
        <v>98</v>
      </c>
      <c r="M7" s="78" t="s">
        <v>101</v>
      </c>
      <c r="N7" s="78" t="s">
        <v>101</v>
      </c>
      <c r="O7" s="78" t="s">
        <v>101</v>
      </c>
      <c r="P7" s="78" t="s">
        <v>101</v>
      </c>
      <c r="Q7" s="74">
        <v>44082</v>
      </c>
      <c r="R7" s="75" t="s">
        <v>101</v>
      </c>
      <c r="S7" s="78" t="s">
        <v>70</v>
      </c>
      <c r="T7" s="78" t="s">
        <v>119</v>
      </c>
    </row>
    <row r="8" spans="1:20" ht="66" hidden="1" customHeight="1" x14ac:dyDescent="0.2">
      <c r="A8" s="73" t="str">
        <f>HYPERLINK("\\temaznet\taymaceng\Controlled_Documents\APPROVED DOCUMENTS\FORMS-APPROVED\QC\QUALITY TRACKER\" &amp; YEAR(B8) &amp; " 8D's\" &amp; "8D-RTB20-5","8D-RTB20-5")</f>
        <v>8D-RTB20-5</v>
      </c>
      <c r="B8" s="74">
        <v>44034</v>
      </c>
      <c r="C8" s="75" t="s">
        <v>80</v>
      </c>
      <c r="D8" s="75" t="s">
        <v>72</v>
      </c>
      <c r="E8" s="75" t="s">
        <v>47</v>
      </c>
      <c r="F8" s="75" t="s">
        <v>199</v>
      </c>
      <c r="G8" s="74">
        <v>44105</v>
      </c>
      <c r="H8" s="76" t="s">
        <v>91</v>
      </c>
      <c r="I8" s="75" t="s">
        <v>206</v>
      </c>
      <c r="J8" s="76" t="s">
        <v>92</v>
      </c>
      <c r="K8" s="75" t="s">
        <v>128</v>
      </c>
      <c r="L8" s="79" t="s">
        <v>128</v>
      </c>
      <c r="M8" s="78" t="s">
        <v>101</v>
      </c>
      <c r="N8" s="78" t="s">
        <v>101</v>
      </c>
      <c r="O8" s="78" t="s">
        <v>101</v>
      </c>
      <c r="P8" s="78" t="s">
        <v>101</v>
      </c>
      <c r="Q8" s="74">
        <v>44035</v>
      </c>
      <c r="R8" s="75" t="s">
        <v>101</v>
      </c>
      <c r="S8" s="78" t="s">
        <v>70</v>
      </c>
      <c r="T8" s="78" t="s">
        <v>203</v>
      </c>
    </row>
    <row r="9" spans="1:20" ht="66" hidden="1" customHeight="1" x14ac:dyDescent="0.2">
      <c r="A9" s="73" t="str">
        <f>HYPERLINK("\\temaznet\taymaceng\Controlled_Documents\APPROVED DOCUMENTS\FORMS-APPROVED\QC\QUALITY TRACKER\" &amp; YEAR(B9) &amp; " 8D's\" &amp; "8D-RTB20-6","8D-RTB20-6")</f>
        <v>8D-RTB20-6</v>
      </c>
      <c r="B9" s="74">
        <v>44043</v>
      </c>
      <c r="C9" s="75" t="s">
        <v>80</v>
      </c>
      <c r="D9" s="75" t="s">
        <v>70</v>
      </c>
      <c r="E9" s="75" t="s">
        <v>47</v>
      </c>
      <c r="F9" s="75" t="s">
        <v>113</v>
      </c>
      <c r="G9" s="74">
        <v>44166</v>
      </c>
      <c r="H9" s="76" t="s">
        <v>94</v>
      </c>
      <c r="I9" s="75" t="s">
        <v>93</v>
      </c>
      <c r="J9" s="75">
        <v>2863</v>
      </c>
      <c r="K9" s="75">
        <v>1000</v>
      </c>
      <c r="L9" s="77">
        <v>23</v>
      </c>
      <c r="M9" s="78" t="s">
        <v>101</v>
      </c>
      <c r="N9" s="78" t="s">
        <v>101</v>
      </c>
      <c r="O9" s="78" t="s">
        <v>101</v>
      </c>
      <c r="P9" s="78" t="s">
        <v>101</v>
      </c>
      <c r="Q9" s="74">
        <v>44067</v>
      </c>
      <c r="R9" s="75" t="s">
        <v>101</v>
      </c>
      <c r="S9" s="78" t="s">
        <v>70</v>
      </c>
      <c r="T9" s="78" t="s">
        <v>112</v>
      </c>
    </row>
    <row r="10" spans="1:20" ht="66" hidden="1" customHeight="1" x14ac:dyDescent="0.2">
      <c r="A10" s="73" t="str">
        <f>HYPERLINK("\\temaznet\taymaceng\Controlled_Documents\APPROVED DOCUMENTS\FORMS-APPROVED\QC\QUALITY TRACKER\" &amp; YEAR(B10) &amp; " 8D's\" &amp; "8D-RTB20-7","8D-RTB20-7")</f>
        <v>8D-RTB20-7</v>
      </c>
      <c r="B10" s="74">
        <v>44064</v>
      </c>
      <c r="C10" s="75" t="s">
        <v>80</v>
      </c>
      <c r="D10" s="75" t="s">
        <v>50</v>
      </c>
      <c r="E10" s="75" t="s">
        <v>47</v>
      </c>
      <c r="F10" s="75" t="s">
        <v>80</v>
      </c>
      <c r="G10" s="74">
        <v>44166</v>
      </c>
      <c r="H10" s="75" t="s">
        <v>102</v>
      </c>
      <c r="I10" s="75" t="s">
        <v>140</v>
      </c>
      <c r="J10" s="75" t="s">
        <v>128</v>
      </c>
      <c r="K10" s="75" t="s">
        <v>98</v>
      </c>
      <c r="L10" s="79" t="s">
        <v>98</v>
      </c>
      <c r="M10" s="78" t="s">
        <v>101</v>
      </c>
      <c r="N10" s="78" t="s">
        <v>101</v>
      </c>
      <c r="O10" s="78" t="s">
        <v>101</v>
      </c>
      <c r="P10" s="78" t="s">
        <v>101</v>
      </c>
      <c r="Q10" s="74">
        <v>44109</v>
      </c>
      <c r="R10" s="75" t="s">
        <v>101</v>
      </c>
      <c r="S10" s="78" t="s">
        <v>70</v>
      </c>
      <c r="T10" s="78" t="s">
        <v>141</v>
      </c>
    </row>
    <row r="11" spans="1:20" ht="66" hidden="1" customHeight="1" x14ac:dyDescent="0.2">
      <c r="A11" s="73" t="str">
        <f>HYPERLINK("\\temaznet\taymaceng\Controlled_Documents\APPROVED DOCUMENTS\FORMS-APPROVED\QC\QUALITY TRACKER\" &amp; YEAR(B11) &amp; " 8D's\" &amp; "8D-RTB20-8","8D-RTB20-8")</f>
        <v>8D-RTB20-8</v>
      </c>
      <c r="B11" s="74">
        <v>44064</v>
      </c>
      <c r="C11" s="75" t="s">
        <v>81</v>
      </c>
      <c r="D11" s="75" t="s">
        <v>70</v>
      </c>
      <c r="E11" s="75" t="s">
        <v>47</v>
      </c>
      <c r="F11" s="75" t="s">
        <v>152</v>
      </c>
      <c r="G11" s="74">
        <v>44166</v>
      </c>
      <c r="H11" s="75" t="s">
        <v>103</v>
      </c>
      <c r="I11" s="75" t="s">
        <v>153</v>
      </c>
      <c r="J11" s="75" t="s">
        <v>104</v>
      </c>
      <c r="K11" s="75">
        <v>120</v>
      </c>
      <c r="L11" s="79">
        <v>120</v>
      </c>
      <c r="M11" s="78" t="s">
        <v>101</v>
      </c>
      <c r="N11" s="78" t="s">
        <v>101</v>
      </c>
      <c r="O11" s="78" t="s">
        <v>101</v>
      </c>
      <c r="P11" s="78" t="s">
        <v>101</v>
      </c>
      <c r="Q11" s="74">
        <v>44113</v>
      </c>
      <c r="R11" s="75" t="s">
        <v>101</v>
      </c>
      <c r="S11" s="78" t="s">
        <v>70</v>
      </c>
      <c r="T11" s="78" t="s">
        <v>165</v>
      </c>
    </row>
    <row r="12" spans="1:20" ht="66" hidden="1" customHeight="1" x14ac:dyDescent="0.2">
      <c r="A12" s="73" t="str">
        <f>HYPERLINK("\\temaznet\taymaceng\Controlled_Documents\APPROVED DOCUMENTS\FORMS-APPROVED\QC\QUALITY TRACKER\" &amp; YEAR(B12) &amp; " 8D's\" &amp; "8D-RTB20-9","8D-RTB20-9")</f>
        <v>8D-RTB20-9</v>
      </c>
      <c r="B12" s="74">
        <v>44064</v>
      </c>
      <c r="C12" s="75" t="s">
        <v>80</v>
      </c>
      <c r="D12" s="75" t="s">
        <v>71</v>
      </c>
      <c r="E12" s="75" t="s">
        <v>71</v>
      </c>
      <c r="F12" s="75" t="s">
        <v>144</v>
      </c>
      <c r="G12" s="74">
        <v>44105</v>
      </c>
      <c r="H12" s="76" t="s">
        <v>106</v>
      </c>
      <c r="I12" s="75" t="s">
        <v>145</v>
      </c>
      <c r="J12" s="75">
        <v>2711</v>
      </c>
      <c r="K12" s="75">
        <v>300</v>
      </c>
      <c r="L12" s="79">
        <v>6</v>
      </c>
      <c r="M12" s="78" t="s">
        <v>101</v>
      </c>
      <c r="N12" s="78" t="s">
        <v>101</v>
      </c>
      <c r="O12" s="78" t="s">
        <v>101</v>
      </c>
      <c r="P12" s="78" t="s">
        <v>101</v>
      </c>
      <c r="Q12" s="74">
        <v>44230</v>
      </c>
      <c r="R12" s="75" t="s">
        <v>101</v>
      </c>
      <c r="S12" s="78" t="s">
        <v>70</v>
      </c>
      <c r="T12" s="78" t="s">
        <v>242</v>
      </c>
    </row>
    <row r="13" spans="1:20" ht="66" hidden="1" customHeight="1" x14ac:dyDescent="0.2">
      <c r="A13" s="73" t="str">
        <f>HYPERLINK("\\temaznet\taymaceng\Controlled_Documents\APPROVED DOCUMENTS\FORMS-APPROVED\QC\QUALITY TRACKER\" &amp; YEAR(B13) &amp; " 8D's\" &amp; "8D-RTB20-10","8D-RTB20-10")</f>
        <v>8D-RTB20-10</v>
      </c>
      <c r="B13" s="74">
        <v>44064</v>
      </c>
      <c r="C13" s="75" t="s">
        <v>80</v>
      </c>
      <c r="D13" s="75" t="s">
        <v>70</v>
      </c>
      <c r="E13" s="75" t="s">
        <v>47</v>
      </c>
      <c r="F13" s="75" t="s">
        <v>113</v>
      </c>
      <c r="G13" s="74">
        <v>44166</v>
      </c>
      <c r="H13" s="75" t="s">
        <v>105</v>
      </c>
      <c r="I13" s="76" t="s">
        <v>184</v>
      </c>
      <c r="J13" s="75">
        <v>663</v>
      </c>
      <c r="K13" s="75" t="s">
        <v>128</v>
      </c>
      <c r="L13" s="77">
        <v>100</v>
      </c>
      <c r="M13" s="78" t="s">
        <v>101</v>
      </c>
      <c r="N13" s="78" t="s">
        <v>101</v>
      </c>
      <c r="O13" s="78" t="s">
        <v>101</v>
      </c>
      <c r="P13" s="78" t="s">
        <v>101</v>
      </c>
      <c r="Q13" s="74">
        <v>44166</v>
      </c>
      <c r="R13" s="75" t="s">
        <v>101</v>
      </c>
      <c r="S13" s="78" t="s">
        <v>70</v>
      </c>
      <c r="T13" s="78" t="s">
        <v>264</v>
      </c>
    </row>
    <row r="14" spans="1:20" ht="66" hidden="1" customHeight="1" x14ac:dyDescent="0.2">
      <c r="A14" s="73" t="str">
        <f>HYPERLINK("\\temaznet\taymaceng\Controlled_Documents\APPROVED DOCUMENTS\FORMS-APPROVED\QC\QUALITY TRACKER\" &amp; YEAR(B14) &amp; " 8D's\" &amp; "8D-RTB20-11","8D-RTB20-11")</f>
        <v>8D-RTB20-11</v>
      </c>
      <c r="B14" s="74">
        <v>44069</v>
      </c>
      <c r="C14" s="75" t="s">
        <v>81</v>
      </c>
      <c r="D14" s="75" t="s">
        <v>70</v>
      </c>
      <c r="E14" s="75" t="s">
        <v>47</v>
      </c>
      <c r="F14" s="76" t="s">
        <v>132</v>
      </c>
      <c r="G14" s="74">
        <v>44166</v>
      </c>
      <c r="H14" s="76" t="s">
        <v>115</v>
      </c>
      <c r="I14" s="76" t="s">
        <v>131</v>
      </c>
      <c r="J14" s="76" t="s">
        <v>114</v>
      </c>
      <c r="K14" s="75">
        <v>243</v>
      </c>
      <c r="L14" s="79">
        <v>243</v>
      </c>
      <c r="M14" s="78" t="s">
        <v>101</v>
      </c>
      <c r="N14" s="78" t="s">
        <v>101</v>
      </c>
      <c r="O14" s="78" t="s">
        <v>101</v>
      </c>
      <c r="P14" s="78" t="s">
        <v>101</v>
      </c>
      <c r="Q14" s="74">
        <v>44113</v>
      </c>
      <c r="R14" s="75" t="s">
        <v>101</v>
      </c>
      <c r="S14" s="78" t="s">
        <v>70</v>
      </c>
      <c r="T14" s="78" t="s">
        <v>164</v>
      </c>
    </row>
    <row r="15" spans="1:20" ht="66" hidden="1" customHeight="1" x14ac:dyDescent="0.2">
      <c r="A15" s="73" t="str">
        <f>HYPERLINK("\\temaznet\taymaceng\Controlled_Documents\APPROVED DOCUMENTS\FORMS-APPROVED\QC\QUALITY TRACKER\" &amp; YEAR(B15) &amp; " 8D's\" &amp; "8D-RTB20-12","8D-RTB20-12")</f>
        <v>8D-RTB20-12</v>
      </c>
      <c r="B15" s="74">
        <v>44082</v>
      </c>
      <c r="C15" s="75" t="s">
        <v>81</v>
      </c>
      <c r="D15" s="75" t="s">
        <v>70</v>
      </c>
      <c r="E15" s="75" t="s">
        <v>47</v>
      </c>
      <c r="F15" s="75" t="s">
        <v>192</v>
      </c>
      <c r="G15" s="74">
        <v>44197</v>
      </c>
      <c r="H15" s="76" t="s">
        <v>194</v>
      </c>
      <c r="I15" s="75" t="s">
        <v>195</v>
      </c>
      <c r="J15" s="76" t="s">
        <v>193</v>
      </c>
      <c r="K15" s="75" t="s">
        <v>128</v>
      </c>
      <c r="L15" s="79" t="s">
        <v>128</v>
      </c>
      <c r="M15" s="78" t="s">
        <v>101</v>
      </c>
      <c r="N15" s="78" t="s">
        <v>101</v>
      </c>
      <c r="O15" s="78" t="s">
        <v>101</v>
      </c>
      <c r="P15" s="78" t="s">
        <v>101</v>
      </c>
      <c r="Q15" s="74">
        <v>44200</v>
      </c>
      <c r="R15" s="75" t="s">
        <v>101</v>
      </c>
      <c r="S15" s="78" t="s">
        <v>70</v>
      </c>
      <c r="T15" s="78" t="s">
        <v>198</v>
      </c>
    </row>
    <row r="16" spans="1:20" ht="66" hidden="1" customHeight="1" x14ac:dyDescent="0.2">
      <c r="A16" s="73" t="str">
        <f>HYPERLINK("\\temaznet\taymaceng\Controlled_Documents\APPROVED DOCUMENTS\FORMS-APPROVED\QC\QUALITY TRACKER\" &amp; YEAR(B16) &amp; " 8D's\" &amp; "8D-RTB20-13","8D-RTB20-13")</f>
        <v>8D-RTB20-13</v>
      </c>
      <c r="B16" s="74">
        <v>44083</v>
      </c>
      <c r="C16" s="75" t="s">
        <v>81</v>
      </c>
      <c r="D16" s="75" t="s">
        <v>70</v>
      </c>
      <c r="E16" s="75" t="s">
        <v>70</v>
      </c>
      <c r="F16" s="76" t="s">
        <v>142</v>
      </c>
      <c r="G16" s="74">
        <v>44256</v>
      </c>
      <c r="H16" s="76" t="s">
        <v>120</v>
      </c>
      <c r="I16" s="76" t="s">
        <v>121</v>
      </c>
      <c r="J16" s="76" t="s">
        <v>122</v>
      </c>
      <c r="K16" s="75" t="s">
        <v>128</v>
      </c>
      <c r="L16" s="79" t="s">
        <v>128</v>
      </c>
      <c r="M16" s="78" t="s">
        <v>101</v>
      </c>
      <c r="N16" s="78" t="s">
        <v>101</v>
      </c>
      <c r="O16" s="78" t="s">
        <v>101</v>
      </c>
      <c r="P16" s="78" t="s">
        <v>101</v>
      </c>
      <c r="Q16" s="74">
        <v>44334</v>
      </c>
      <c r="R16" s="75" t="s">
        <v>101</v>
      </c>
      <c r="S16" s="78" t="s">
        <v>70</v>
      </c>
      <c r="T16" s="78" t="s">
        <v>298</v>
      </c>
    </row>
    <row r="17" spans="1:20" ht="66" customHeight="1" x14ac:dyDescent="0.2">
      <c r="A17" s="70" t="str">
        <f>HYPERLINK("\\temaznet\taymaceng\Controlled_Documents\APPROVED DOCUMENTS\FORMS-APPROVED\QC\QUALITY TRACKER\" &amp; YEAR(B17) &amp; " 8D's\" &amp; "8D-RTB20-14","8D-RTB20-14")</f>
        <v>8D-RTB20-14</v>
      </c>
      <c r="B17" s="65">
        <v>44097</v>
      </c>
      <c r="C17" s="66" t="s">
        <v>81</v>
      </c>
      <c r="D17" s="66" t="s">
        <v>70</v>
      </c>
      <c r="E17" s="66" t="s">
        <v>47</v>
      </c>
      <c r="F17" s="66" t="s">
        <v>177</v>
      </c>
      <c r="G17" s="65">
        <v>44166</v>
      </c>
      <c r="H17" s="72" t="s">
        <v>174</v>
      </c>
      <c r="I17" s="66" t="s">
        <v>175</v>
      </c>
      <c r="J17" s="72" t="s">
        <v>173</v>
      </c>
      <c r="K17" s="66" t="s">
        <v>128</v>
      </c>
      <c r="L17" s="67" t="s">
        <v>128</v>
      </c>
      <c r="M17" s="68" t="s">
        <v>101</v>
      </c>
      <c r="N17" s="68" t="s">
        <v>101</v>
      </c>
      <c r="O17" s="68" t="s">
        <v>77</v>
      </c>
      <c r="P17" s="68" t="s">
        <v>77</v>
      </c>
      <c r="Q17" s="65"/>
      <c r="R17" s="66" t="s">
        <v>78</v>
      </c>
      <c r="S17" s="68"/>
      <c r="T17" s="68"/>
    </row>
    <row r="18" spans="1:20" ht="66" hidden="1" customHeight="1" x14ac:dyDescent="0.2">
      <c r="A18" s="73" t="str">
        <f>HYPERLINK("\\temaznet\taymaceng\Controlled_Documents\APPROVED DOCUMENTS\FORMS-APPROVED\QC\QUALITY TRACKER\" &amp; YEAR(B18) &amp; " 8D's\" &amp; "8D-RTB20-15","8D-RTB20-15")</f>
        <v>8D-RTB20-15</v>
      </c>
      <c r="B18" s="74">
        <v>44109</v>
      </c>
      <c r="C18" s="75" t="s">
        <v>81</v>
      </c>
      <c r="D18" s="75" t="s">
        <v>71</v>
      </c>
      <c r="E18" s="75" t="s">
        <v>47</v>
      </c>
      <c r="F18" s="76" t="s">
        <v>128</v>
      </c>
      <c r="G18" s="74">
        <v>44075</v>
      </c>
      <c r="H18" s="75" t="s">
        <v>245</v>
      </c>
      <c r="I18" s="76" t="s">
        <v>246</v>
      </c>
      <c r="J18" s="76" t="s">
        <v>143</v>
      </c>
      <c r="K18" s="75" t="s">
        <v>252</v>
      </c>
      <c r="L18" s="79">
        <v>0</v>
      </c>
      <c r="M18" s="78" t="s">
        <v>101</v>
      </c>
      <c r="N18" s="78" t="s">
        <v>101</v>
      </c>
      <c r="O18" s="78" t="s">
        <v>101</v>
      </c>
      <c r="P18" s="78" t="s">
        <v>101</v>
      </c>
      <c r="Q18" s="74">
        <v>44235</v>
      </c>
      <c r="R18" s="75" t="s">
        <v>101</v>
      </c>
      <c r="S18" s="78" t="s">
        <v>70</v>
      </c>
      <c r="T18" s="78" t="s">
        <v>253</v>
      </c>
    </row>
    <row r="19" spans="1:20" ht="66" hidden="1" customHeight="1" x14ac:dyDescent="0.2">
      <c r="A19" s="73" t="str">
        <f>HYPERLINK("\\temaznet\taymaceng\Controlled_Documents\APPROVED DOCUMENTS\FORMS-APPROVED\QC\QUALITY TRACKER\" &amp; YEAR(B19) &amp; " 8D's\" &amp; "8D-RTB20-16","8D-RTB20-16")</f>
        <v>8D-RTB20-16</v>
      </c>
      <c r="B19" s="74">
        <v>44111</v>
      </c>
      <c r="C19" s="75" t="s">
        <v>80</v>
      </c>
      <c r="D19" s="75" t="s">
        <v>70</v>
      </c>
      <c r="E19" s="75" t="s">
        <v>47</v>
      </c>
      <c r="F19" s="75" t="s">
        <v>168</v>
      </c>
      <c r="G19" s="74">
        <v>44166</v>
      </c>
      <c r="H19" s="76" t="s">
        <v>151</v>
      </c>
      <c r="I19" s="75" t="s">
        <v>166</v>
      </c>
      <c r="J19" s="75">
        <v>190</v>
      </c>
      <c r="K19" s="75">
        <v>3000</v>
      </c>
      <c r="L19" s="79">
        <v>3000</v>
      </c>
      <c r="M19" s="78" t="s">
        <v>101</v>
      </c>
      <c r="N19" s="78" t="s">
        <v>101</v>
      </c>
      <c r="O19" s="78" t="s">
        <v>101</v>
      </c>
      <c r="P19" s="78" t="s">
        <v>101</v>
      </c>
      <c r="Q19" s="74">
        <v>44153</v>
      </c>
      <c r="R19" s="75" t="s">
        <v>101</v>
      </c>
      <c r="S19" s="78" t="s">
        <v>70</v>
      </c>
      <c r="T19" s="78" t="s">
        <v>181</v>
      </c>
    </row>
    <row r="20" spans="1:20" ht="66" hidden="1" customHeight="1" x14ac:dyDescent="0.2">
      <c r="A20" s="73" t="str">
        <f>HYPERLINK("\\temaznet\taymaceng\Controlled_Documents\APPROVED DOCUMENTS\FORMS-APPROVED\QC\QUALITY TRACKER\" &amp; YEAR(B20) &amp; " 8D's\" &amp; "8D-RTB20-17","8D-RTB20-17")</f>
        <v>8D-RTB20-17</v>
      </c>
      <c r="B20" s="74">
        <v>44166</v>
      </c>
      <c r="C20" s="75" t="s">
        <v>81</v>
      </c>
      <c r="D20" s="75" t="s">
        <v>70</v>
      </c>
      <c r="E20" s="75" t="s">
        <v>47</v>
      </c>
      <c r="F20" s="76" t="s">
        <v>183</v>
      </c>
      <c r="G20" s="74">
        <v>44197</v>
      </c>
      <c r="H20" s="76" t="s">
        <v>182</v>
      </c>
      <c r="I20" s="76" t="s">
        <v>265</v>
      </c>
      <c r="J20" s="75" t="s">
        <v>104</v>
      </c>
      <c r="K20" s="76" t="s">
        <v>128</v>
      </c>
      <c r="L20" s="77">
        <v>13</v>
      </c>
      <c r="M20" s="78" t="s">
        <v>101</v>
      </c>
      <c r="N20" s="78" t="s">
        <v>101</v>
      </c>
      <c r="O20" s="78" t="s">
        <v>101</v>
      </c>
      <c r="P20" s="78" t="s">
        <v>101</v>
      </c>
      <c r="Q20" s="74">
        <v>44169</v>
      </c>
      <c r="R20" s="75" t="s">
        <v>101</v>
      </c>
      <c r="S20" s="78" t="s">
        <v>70</v>
      </c>
      <c r="T20" s="78" t="s">
        <v>268</v>
      </c>
    </row>
    <row r="21" spans="1:20" ht="66" hidden="1" customHeight="1" x14ac:dyDescent="0.2">
      <c r="A21" s="73" t="str">
        <f>HYPERLINK("\\temaznet\taymaceng\Controlled_Documents\APPROVED DOCUMENTS\FORMS-APPROVED\QC\QUALITY TRACKER\" &amp; YEAR(B21) &amp; " 8D's\" &amp; "8D-RTB20-18","8D-RTB20-18")</f>
        <v>8D-RTB20-18</v>
      </c>
      <c r="B21" s="74">
        <v>44169</v>
      </c>
      <c r="C21" s="75" t="s">
        <v>80</v>
      </c>
      <c r="D21" s="75" t="s">
        <v>70</v>
      </c>
      <c r="E21" s="75" t="s">
        <v>47</v>
      </c>
      <c r="F21" s="75" t="s">
        <v>215</v>
      </c>
      <c r="G21" s="74">
        <v>43862</v>
      </c>
      <c r="H21" s="75" t="s">
        <v>210</v>
      </c>
      <c r="I21" s="75" t="s">
        <v>209</v>
      </c>
      <c r="J21" s="75">
        <v>1972</v>
      </c>
      <c r="K21" s="75">
        <v>150</v>
      </c>
      <c r="L21" s="79">
        <v>150</v>
      </c>
      <c r="M21" s="78" t="s">
        <v>101</v>
      </c>
      <c r="N21" s="78" t="s">
        <v>101</v>
      </c>
      <c r="O21" s="78" t="s">
        <v>101</v>
      </c>
      <c r="P21" s="78" t="s">
        <v>101</v>
      </c>
      <c r="Q21" s="74">
        <v>44208</v>
      </c>
      <c r="R21" s="75" t="s">
        <v>101</v>
      </c>
      <c r="S21" s="78" t="s">
        <v>70</v>
      </c>
      <c r="T21" s="78" t="s">
        <v>218</v>
      </c>
    </row>
    <row r="22" spans="1:20" ht="66" hidden="1" customHeight="1" x14ac:dyDescent="0.2">
      <c r="A22" s="73" t="str">
        <f>HYPERLINK("\\temaznet\taymaceng\Controlled_Documents\APPROVED DOCUMENTS\FORMS-APPROVED\QC\QUALITY TRACKER\" &amp; YEAR(B22) &amp; " 8D's\" &amp; "8D-RTB20-19","8D-RTB20-19")</f>
        <v>8D-RTB20-19</v>
      </c>
      <c r="B22" s="74">
        <v>44174</v>
      </c>
      <c r="C22" s="75" t="s">
        <v>81</v>
      </c>
      <c r="D22" s="75" t="s">
        <v>70</v>
      </c>
      <c r="E22" s="75" t="s">
        <v>70</v>
      </c>
      <c r="F22" s="76" t="s">
        <v>269</v>
      </c>
      <c r="G22" s="74">
        <v>44287</v>
      </c>
      <c r="H22" s="76" t="s">
        <v>326</v>
      </c>
      <c r="I22" s="76" t="s">
        <v>186</v>
      </c>
      <c r="J22" s="76" t="s">
        <v>185</v>
      </c>
      <c r="K22" s="75" t="s">
        <v>128</v>
      </c>
      <c r="L22" s="79" t="s">
        <v>128</v>
      </c>
      <c r="M22" s="78" t="s">
        <v>101</v>
      </c>
      <c r="N22" s="78" t="s">
        <v>101</v>
      </c>
      <c r="O22" s="78" t="s">
        <v>101</v>
      </c>
      <c r="P22" s="78" t="s">
        <v>101</v>
      </c>
      <c r="Q22" s="74">
        <v>44400</v>
      </c>
      <c r="R22" s="75" t="s">
        <v>101</v>
      </c>
      <c r="S22" s="78" t="s">
        <v>70</v>
      </c>
      <c r="T22" s="78" t="s">
        <v>363</v>
      </c>
    </row>
    <row r="23" spans="1:20" ht="66" hidden="1" customHeight="1" x14ac:dyDescent="0.2">
      <c r="A23" s="73" t="str">
        <f>HYPERLINK("\\temaznet\taymaceng\Controlled_Documents\APPROVED DOCUMENTS\FORMS-APPROVED\QC\QUALITY TRACKER\" &amp; YEAR(B23) &amp; " 8D's\" &amp; "8D-RTB20-20","8D-RTB20-20")</f>
        <v>8D-RTB20-20</v>
      </c>
      <c r="B23" s="74">
        <v>44179</v>
      </c>
      <c r="C23" s="75" t="s">
        <v>81</v>
      </c>
      <c r="D23" s="75" t="s">
        <v>70</v>
      </c>
      <c r="E23" s="75" t="s">
        <v>70</v>
      </c>
      <c r="F23" s="76" t="s">
        <v>231</v>
      </c>
      <c r="G23" s="74">
        <v>43862</v>
      </c>
      <c r="H23" s="76" t="s">
        <v>187</v>
      </c>
      <c r="I23" s="76" t="s">
        <v>188</v>
      </c>
      <c r="J23" s="76" t="s">
        <v>104</v>
      </c>
      <c r="K23" s="75" t="s">
        <v>128</v>
      </c>
      <c r="L23" s="77">
        <v>36</v>
      </c>
      <c r="M23" s="78" t="s">
        <v>101</v>
      </c>
      <c r="N23" s="78" t="s">
        <v>101</v>
      </c>
      <c r="O23" s="78" t="s">
        <v>101</v>
      </c>
      <c r="P23" s="78" t="s">
        <v>101</v>
      </c>
      <c r="Q23" s="74">
        <v>44217</v>
      </c>
      <c r="R23" s="75" t="s">
        <v>101</v>
      </c>
      <c r="S23" s="78" t="s">
        <v>70</v>
      </c>
      <c r="T23" s="78" t="s">
        <v>235</v>
      </c>
    </row>
    <row r="24" spans="1:20" ht="66" hidden="1" customHeight="1" x14ac:dyDescent="0.2">
      <c r="A24" s="73" t="str">
        <f>HYPERLINK("\\temaznet\taymaceng\Controlled_Documents\APPROVED DOCUMENTS\FORMS-APPROVED\QC\QUALITY TRACKER\" &amp; YEAR(B24) &amp; " 8D's\" &amp; "8D-RTB21-1","8D-RTB21-1")</f>
        <v>8D-RTB21-1</v>
      </c>
      <c r="B24" s="74">
        <v>44202</v>
      </c>
      <c r="C24" s="75" t="s">
        <v>80</v>
      </c>
      <c r="D24" s="75" t="s">
        <v>70</v>
      </c>
      <c r="E24" s="75" t="s">
        <v>70</v>
      </c>
      <c r="F24" s="75" t="s">
        <v>366</v>
      </c>
      <c r="G24" s="74">
        <v>44287</v>
      </c>
      <c r="H24" s="75" t="s">
        <v>368</v>
      </c>
      <c r="I24" s="75" t="s">
        <v>364</v>
      </c>
      <c r="J24" s="76" t="s">
        <v>207</v>
      </c>
      <c r="K24" s="75" t="s">
        <v>128</v>
      </c>
      <c r="L24" s="79" t="s">
        <v>128</v>
      </c>
      <c r="M24" s="78" t="s">
        <v>101</v>
      </c>
      <c r="N24" s="78" t="s">
        <v>101</v>
      </c>
      <c r="O24" s="78" t="s">
        <v>101</v>
      </c>
      <c r="P24" s="78" t="s">
        <v>101</v>
      </c>
      <c r="Q24" s="74">
        <v>44202</v>
      </c>
      <c r="R24" s="75" t="s">
        <v>101</v>
      </c>
      <c r="S24" s="78" t="s">
        <v>70</v>
      </c>
      <c r="T24" s="78" t="s">
        <v>276</v>
      </c>
    </row>
    <row r="25" spans="1:20" ht="66" hidden="1" customHeight="1" x14ac:dyDescent="0.2">
      <c r="A25" s="73" t="str">
        <f>HYPERLINK("\\temaznet\taymaceng\Controlled_Documents\APPROVED DOCUMENTS\FORMS-APPROVED\QC\QUALITY TRACKER\" &amp; YEAR(B25) &amp; " 8D's\" &amp; "8D-RTB21-2","8D-RTB21-2")</f>
        <v>8D-RTB21-2</v>
      </c>
      <c r="B25" s="74">
        <v>44215</v>
      </c>
      <c r="C25" s="75" t="s">
        <v>81</v>
      </c>
      <c r="D25" s="75" t="s">
        <v>70</v>
      </c>
      <c r="E25" s="75" t="s">
        <v>47</v>
      </c>
      <c r="F25" s="76" t="s">
        <v>269</v>
      </c>
      <c r="G25" s="74">
        <v>44228</v>
      </c>
      <c r="H25" s="76" t="s">
        <v>277</v>
      </c>
      <c r="I25" s="75" t="s">
        <v>280</v>
      </c>
      <c r="J25" s="75">
        <v>5122</v>
      </c>
      <c r="K25" s="75" t="s">
        <v>128</v>
      </c>
      <c r="L25" s="79" t="s">
        <v>128</v>
      </c>
      <c r="M25" s="78" t="s">
        <v>101</v>
      </c>
      <c r="N25" s="78" t="s">
        <v>101</v>
      </c>
      <c r="O25" s="78" t="s">
        <v>101</v>
      </c>
      <c r="P25" s="78" t="s">
        <v>101</v>
      </c>
      <c r="Q25" s="74">
        <v>44225</v>
      </c>
      <c r="R25" s="75" t="s">
        <v>101</v>
      </c>
      <c r="S25" s="78" t="s">
        <v>70</v>
      </c>
      <c r="T25" s="78" t="s">
        <v>283</v>
      </c>
    </row>
    <row r="26" spans="1:20" ht="66" hidden="1" customHeight="1" x14ac:dyDescent="0.2">
      <c r="A26" s="73" t="str">
        <f>HYPERLINK("\\temaznet\taymaceng\Controlled_Documents\APPROVED DOCUMENTS\FORMS-APPROVED\QC\QUALITY TRACKER\" &amp; YEAR(B26) &amp; " 8D's\" &amp; "8D-RTB21-3","8D-RTB21-3")</f>
        <v>8D-RTB21-3</v>
      </c>
      <c r="B26" s="74">
        <v>44215</v>
      </c>
      <c r="C26" s="75" t="s">
        <v>81</v>
      </c>
      <c r="D26" s="75" t="s">
        <v>70</v>
      </c>
      <c r="E26" s="75" t="s">
        <v>47</v>
      </c>
      <c r="F26" s="75" t="s">
        <v>269</v>
      </c>
      <c r="G26" s="74">
        <v>43862</v>
      </c>
      <c r="H26" s="75" t="s">
        <v>270</v>
      </c>
      <c r="I26" s="75" t="s">
        <v>271</v>
      </c>
      <c r="J26" s="76" t="s">
        <v>219</v>
      </c>
      <c r="K26" s="75" t="s">
        <v>128</v>
      </c>
      <c r="L26" s="79" t="s">
        <v>128</v>
      </c>
      <c r="M26" s="78" t="s">
        <v>101</v>
      </c>
      <c r="N26" s="78" t="s">
        <v>101</v>
      </c>
      <c r="O26" s="78" t="s">
        <v>101</v>
      </c>
      <c r="P26" s="78" t="s">
        <v>101</v>
      </c>
      <c r="Q26" s="74">
        <v>44215</v>
      </c>
      <c r="R26" s="75" t="s">
        <v>101</v>
      </c>
      <c r="S26" s="78" t="s">
        <v>70</v>
      </c>
      <c r="T26" s="78" t="s">
        <v>276</v>
      </c>
    </row>
    <row r="27" spans="1:20" ht="66" hidden="1" customHeight="1" x14ac:dyDescent="0.2">
      <c r="A27" s="73" t="str">
        <f>HYPERLINK("\\temaznet\taymaceng\Controlled_Documents\APPROVED DOCUMENTS\FORMS-APPROVED\QC\QUALITY TRACKER\" &amp; YEAR(B27) &amp; " 8D's\" &amp; "8D-RTB21-4","8D-RTB21-4")</f>
        <v>8D-RTB21-4</v>
      </c>
      <c r="B27" s="74">
        <v>44218</v>
      </c>
      <c r="C27" s="75" t="s">
        <v>80</v>
      </c>
      <c r="D27" s="75" t="s">
        <v>70</v>
      </c>
      <c r="E27" s="75" t="s">
        <v>70</v>
      </c>
      <c r="F27" s="75" t="s">
        <v>315</v>
      </c>
      <c r="G27" s="74">
        <v>44287</v>
      </c>
      <c r="H27" s="76" t="s">
        <v>314</v>
      </c>
      <c r="I27" s="76" t="s">
        <v>316</v>
      </c>
      <c r="J27" s="75" t="s">
        <v>236</v>
      </c>
      <c r="K27" s="75">
        <v>167</v>
      </c>
      <c r="L27" s="79">
        <v>177</v>
      </c>
      <c r="M27" s="78" t="s">
        <v>101</v>
      </c>
      <c r="N27" s="78" t="s">
        <v>101</v>
      </c>
      <c r="O27" s="78" t="s">
        <v>101</v>
      </c>
      <c r="P27" s="78" t="s">
        <v>101</v>
      </c>
      <c r="Q27" s="74">
        <v>44287</v>
      </c>
      <c r="R27" s="75" t="s">
        <v>101</v>
      </c>
      <c r="S27" s="78" t="s">
        <v>70</v>
      </c>
      <c r="T27" s="78" t="s">
        <v>320</v>
      </c>
    </row>
    <row r="28" spans="1:20" ht="66" customHeight="1" x14ac:dyDescent="0.2">
      <c r="A28" s="70" t="str">
        <f>HYPERLINK("\\temaznet\taymaceng\Controlled_Documents\APPROVED DOCUMENTS\FORMS-APPROVED\QC\QUALITY TRACKER\" &amp; YEAR(B28) &amp; " 8D's\" &amp; "8D-RTB21-5","8D-RTB21-5")</f>
        <v>8D-RTB21-5</v>
      </c>
      <c r="B28" s="65">
        <v>44222</v>
      </c>
      <c r="C28" s="66" t="s">
        <v>81</v>
      </c>
      <c r="D28" s="66" t="s">
        <v>224</v>
      </c>
      <c r="E28" s="66" t="s">
        <v>70</v>
      </c>
      <c r="F28" s="72" t="s">
        <v>177</v>
      </c>
      <c r="G28" s="65"/>
      <c r="H28" s="66"/>
      <c r="I28" s="72" t="s">
        <v>238</v>
      </c>
      <c r="J28" s="72" t="s">
        <v>237</v>
      </c>
      <c r="K28" s="66"/>
      <c r="L28" s="67"/>
      <c r="M28" s="68" t="s">
        <v>77</v>
      </c>
      <c r="N28" s="68" t="s">
        <v>77</v>
      </c>
      <c r="O28" s="68" t="s">
        <v>77</v>
      </c>
      <c r="P28" s="68" t="s">
        <v>77</v>
      </c>
      <c r="Q28" s="65"/>
      <c r="R28" s="66" t="s">
        <v>78</v>
      </c>
      <c r="S28" s="68"/>
      <c r="T28" s="68"/>
    </row>
    <row r="29" spans="1:20" ht="66" hidden="1" customHeight="1" x14ac:dyDescent="0.2">
      <c r="A29" s="73" t="str">
        <f>HYPERLINK("\\temaznet\taymaceng\Controlled_Documents\APPROVED DOCUMENTS\FORMS-APPROVED\QC\QUALITY TRACKER\" &amp; YEAR(B29) &amp; " 8D's\" &amp; "8D-RTB21-6","8D-RTB21-6")</f>
        <v>8D-RTB21-6</v>
      </c>
      <c r="B29" s="74">
        <v>44244</v>
      </c>
      <c r="C29" s="75" t="s">
        <v>80</v>
      </c>
      <c r="D29" s="75" t="s">
        <v>70</v>
      </c>
      <c r="E29" s="75" t="s">
        <v>70</v>
      </c>
      <c r="F29" s="76" t="s">
        <v>152</v>
      </c>
      <c r="G29" s="74">
        <v>44317</v>
      </c>
      <c r="H29" s="76" t="s">
        <v>255</v>
      </c>
      <c r="I29" s="76" t="s">
        <v>256</v>
      </c>
      <c r="J29" s="75">
        <v>1001</v>
      </c>
      <c r="K29" s="76" t="s">
        <v>128</v>
      </c>
      <c r="L29" s="77" t="s">
        <v>128</v>
      </c>
      <c r="M29" s="78" t="s">
        <v>101</v>
      </c>
      <c r="N29" s="78" t="s">
        <v>101</v>
      </c>
      <c r="O29" s="78" t="s">
        <v>101</v>
      </c>
      <c r="P29" s="78" t="s">
        <v>101</v>
      </c>
      <c r="Q29" s="74">
        <v>44306</v>
      </c>
      <c r="R29" s="75" t="s">
        <v>101</v>
      </c>
      <c r="S29" s="78" t="s">
        <v>70</v>
      </c>
      <c r="T29" s="78" t="s">
        <v>130</v>
      </c>
    </row>
    <row r="30" spans="1:20" ht="66" hidden="1" customHeight="1" x14ac:dyDescent="0.2">
      <c r="A30" s="73" t="str">
        <f>HYPERLINK("\\temaznet\taymaceng\Controlled_Documents\APPROVED DOCUMENTS\FORMS-APPROVED\QC\QUALITY TRACKER\" &amp; YEAR(B30) &amp; " 8D's\" &amp; "8D-RTB21-7","8D-RTB21-7")</f>
        <v>8D-RTB21-7</v>
      </c>
      <c r="B30" s="74">
        <v>44246</v>
      </c>
      <c r="C30" s="75" t="s">
        <v>80</v>
      </c>
      <c r="D30" s="75" t="s">
        <v>70</v>
      </c>
      <c r="E30" s="75" t="s">
        <v>70</v>
      </c>
      <c r="F30" s="76" t="s">
        <v>327</v>
      </c>
      <c r="G30" s="74">
        <v>44317</v>
      </c>
      <c r="H30" s="75" t="s">
        <v>335</v>
      </c>
      <c r="I30" s="76" t="s">
        <v>333</v>
      </c>
      <c r="J30" s="76" t="s">
        <v>257</v>
      </c>
      <c r="K30" s="75">
        <v>1650</v>
      </c>
      <c r="L30" s="79">
        <v>1650</v>
      </c>
      <c r="M30" s="78" t="s">
        <v>101</v>
      </c>
      <c r="N30" s="78" t="s">
        <v>101</v>
      </c>
      <c r="O30" s="78" t="s">
        <v>101</v>
      </c>
      <c r="P30" s="78" t="s">
        <v>101</v>
      </c>
      <c r="Q30" s="74">
        <v>44356</v>
      </c>
      <c r="R30" s="75" t="s">
        <v>101</v>
      </c>
      <c r="S30" s="78" t="s">
        <v>70</v>
      </c>
      <c r="T30" s="78" t="s">
        <v>336</v>
      </c>
    </row>
    <row r="31" spans="1:20" ht="66" hidden="1" customHeight="1" x14ac:dyDescent="0.2">
      <c r="A31" s="73" t="str">
        <f>HYPERLINK("\\temaznet\taymaceng\Controlled_Documents\APPROVED DOCUMENTS\FORMS-APPROVED\QC\QUALITY TRACKER\" &amp; YEAR(B31) &amp; " 8D's\" &amp; "8D-RTB21-8","8D-RTB21-8")</f>
        <v>8D-RTB21-8</v>
      </c>
      <c r="B31" s="74">
        <v>44256</v>
      </c>
      <c r="C31" s="75" t="s">
        <v>81</v>
      </c>
      <c r="D31" s="75" t="s">
        <v>70</v>
      </c>
      <c r="E31" s="75" t="s">
        <v>70</v>
      </c>
      <c r="F31" s="76" t="s">
        <v>260</v>
      </c>
      <c r="G31" s="74">
        <v>44287</v>
      </c>
      <c r="H31" s="75" t="s">
        <v>284</v>
      </c>
      <c r="I31" s="76" t="s">
        <v>258</v>
      </c>
      <c r="J31" s="76" t="s">
        <v>259</v>
      </c>
      <c r="K31" s="75" t="s">
        <v>128</v>
      </c>
      <c r="L31" s="79" t="s">
        <v>128</v>
      </c>
      <c r="M31" s="78" t="s">
        <v>101</v>
      </c>
      <c r="N31" s="78" t="s">
        <v>101</v>
      </c>
      <c r="O31" s="78" t="s">
        <v>101</v>
      </c>
      <c r="P31" s="78" t="s">
        <v>101</v>
      </c>
      <c r="Q31" s="74">
        <v>44287</v>
      </c>
      <c r="R31" s="75" t="s">
        <v>101</v>
      </c>
      <c r="S31" s="78" t="s">
        <v>70</v>
      </c>
      <c r="T31" s="78" t="s">
        <v>287</v>
      </c>
    </row>
    <row r="32" spans="1:20" ht="66" hidden="1" customHeight="1" x14ac:dyDescent="0.2">
      <c r="A32" s="73" t="str">
        <f>HYPERLINK("\\temaznet\taymaceng\Controlled_Documents\APPROVED DOCUMENTS\FORMS-APPROVED\QC\QUALITY TRACKER\" &amp; YEAR(B32) &amp; " 8D's\" &amp; "8D-RTB21-9","8D-RTB21-9")</f>
        <v>8D-RTB21-9</v>
      </c>
      <c r="B32" s="74">
        <v>44278</v>
      </c>
      <c r="C32" s="75" t="s">
        <v>80</v>
      </c>
      <c r="D32" s="75" t="s">
        <v>70</v>
      </c>
      <c r="E32" s="75" t="s">
        <v>70</v>
      </c>
      <c r="F32" s="75" t="s">
        <v>310</v>
      </c>
      <c r="G32" s="74">
        <v>44348</v>
      </c>
      <c r="H32" s="75" t="s">
        <v>308</v>
      </c>
      <c r="I32" s="75" t="s">
        <v>309</v>
      </c>
      <c r="J32" s="75">
        <v>650</v>
      </c>
      <c r="K32" s="75">
        <v>3000</v>
      </c>
      <c r="L32" s="79">
        <v>3000</v>
      </c>
      <c r="M32" s="78" t="s">
        <v>101</v>
      </c>
      <c r="N32" s="78" t="s">
        <v>101</v>
      </c>
      <c r="O32" s="78" t="s">
        <v>101</v>
      </c>
      <c r="P32" s="78" t="s">
        <v>101</v>
      </c>
      <c r="Q32" s="74">
        <v>44322</v>
      </c>
      <c r="R32" s="75" t="s">
        <v>101</v>
      </c>
      <c r="S32" s="78" t="s">
        <v>70</v>
      </c>
      <c r="T32" s="78" t="s">
        <v>164</v>
      </c>
    </row>
    <row r="33" spans="1:20" ht="66" hidden="1" customHeight="1" x14ac:dyDescent="0.2">
      <c r="A33" s="73" t="str">
        <f>HYPERLINK("\\temaznet\taymaceng\Controlled_Documents\APPROVED DOCUMENTS\FORMS-APPROVED\QC\QUALITY TRACKER\" &amp; YEAR(B33) &amp; " 8D's\" &amp; "8D-RTB21-10","8D-RTB21-10")</f>
        <v>8D-RTB21-10</v>
      </c>
      <c r="B33" s="74">
        <v>44287</v>
      </c>
      <c r="C33" s="75" t="s">
        <v>80</v>
      </c>
      <c r="D33" s="75" t="s">
        <v>70</v>
      </c>
      <c r="E33" s="75" t="s">
        <v>70</v>
      </c>
      <c r="F33" s="75" t="s">
        <v>299</v>
      </c>
      <c r="G33" s="74">
        <v>44348</v>
      </c>
      <c r="H33" s="75" t="s">
        <v>321</v>
      </c>
      <c r="I33" s="75" t="s">
        <v>324</v>
      </c>
      <c r="J33" s="76" t="s">
        <v>323</v>
      </c>
      <c r="K33" s="75">
        <v>9</v>
      </c>
      <c r="L33" s="79">
        <v>9</v>
      </c>
      <c r="M33" s="78" t="s">
        <v>101</v>
      </c>
      <c r="N33" s="78" t="s">
        <v>101</v>
      </c>
      <c r="O33" s="78" t="s">
        <v>101</v>
      </c>
      <c r="P33" s="78" t="s">
        <v>101</v>
      </c>
      <c r="Q33" s="74">
        <v>44287</v>
      </c>
      <c r="R33" s="75" t="s">
        <v>101</v>
      </c>
      <c r="S33" s="78" t="s">
        <v>70</v>
      </c>
      <c r="T33" s="78" t="s">
        <v>276</v>
      </c>
    </row>
    <row r="34" spans="1:20" ht="66" customHeight="1" x14ac:dyDescent="0.2">
      <c r="A34" s="70" t="str">
        <f>HYPERLINK("\\temaznet\taymaceng\Controlled_Documents\APPROVED DOCUMENTS\FORMS-APPROVED\QC\QUALITY TRACKER\" &amp; YEAR(B34) &amp; " 8D's\" &amp; "8D-RTB21-11","8D-RTB21-11")</f>
        <v>8D-RTB21-11</v>
      </c>
      <c r="B34" s="65">
        <v>44301</v>
      </c>
      <c r="C34" s="66" t="s">
        <v>80</v>
      </c>
      <c r="D34" s="66" t="s">
        <v>70</v>
      </c>
      <c r="E34" s="66" t="s">
        <v>70</v>
      </c>
      <c r="F34" s="72" t="s">
        <v>118</v>
      </c>
      <c r="G34" s="65"/>
      <c r="H34" s="66"/>
      <c r="I34" s="72" t="s">
        <v>291</v>
      </c>
      <c r="J34" s="66">
        <v>3406</v>
      </c>
      <c r="K34" s="66"/>
      <c r="L34" s="67"/>
      <c r="M34" s="68" t="s">
        <v>77</v>
      </c>
      <c r="N34" s="68" t="s">
        <v>77</v>
      </c>
      <c r="O34" s="68" t="s">
        <v>77</v>
      </c>
      <c r="P34" s="68" t="s">
        <v>77</v>
      </c>
      <c r="Q34" s="65"/>
      <c r="R34" s="66" t="s">
        <v>78</v>
      </c>
      <c r="S34" s="68"/>
      <c r="T34" s="68"/>
    </row>
    <row r="35" spans="1:20" ht="66" customHeight="1" x14ac:dyDescent="0.2">
      <c r="A35" s="70" t="str">
        <f>HYPERLINK("\\temaznet\taymaceng\Controlled_Documents\APPROVED DOCUMENTS\FORMS-APPROVED\QC\QUALITY TRACKER\" &amp; YEAR(B35) &amp; " 8D's\" &amp; "8D-RTB21-12","8D-RTB21-12")</f>
        <v>8D-RTB21-12</v>
      </c>
      <c r="B35" s="65">
        <v>44302</v>
      </c>
      <c r="C35" s="66" t="s">
        <v>80</v>
      </c>
      <c r="D35" s="66" t="s">
        <v>70</v>
      </c>
      <c r="E35" s="66" t="s">
        <v>72</v>
      </c>
      <c r="F35" s="72" t="s">
        <v>118</v>
      </c>
      <c r="G35" s="65"/>
      <c r="H35" s="66"/>
      <c r="I35" s="66" t="s">
        <v>291</v>
      </c>
      <c r="J35" s="66">
        <v>2128</v>
      </c>
      <c r="K35" s="66"/>
      <c r="L35" s="67"/>
      <c r="M35" s="68" t="s">
        <v>77</v>
      </c>
      <c r="N35" s="68" t="s">
        <v>77</v>
      </c>
      <c r="O35" s="68" t="s">
        <v>77</v>
      </c>
      <c r="P35" s="68" t="s">
        <v>77</v>
      </c>
      <c r="Q35" s="65"/>
      <c r="R35" s="66" t="s">
        <v>78</v>
      </c>
      <c r="S35" s="68"/>
      <c r="T35" s="68"/>
    </row>
    <row r="36" spans="1:20" ht="66" hidden="1" customHeight="1" x14ac:dyDescent="0.2">
      <c r="A36" s="73" t="str">
        <f>HYPERLINK("\\temaznet\taymaceng\Controlled_Documents\APPROVED DOCUMENTS\FORMS-APPROVED\QC\QUALITY TRACKER\" &amp; YEAR(B36) &amp; " 8D's\" &amp; "8D-RTB21-13","8D-RTB21-13")</f>
        <v>8D-RTB21-13</v>
      </c>
      <c r="B36" s="74">
        <v>44315</v>
      </c>
      <c r="C36" s="75" t="s">
        <v>81</v>
      </c>
      <c r="D36" s="75" t="s">
        <v>70</v>
      </c>
      <c r="E36" s="75" t="s">
        <v>70</v>
      </c>
      <c r="F36" s="75" t="s">
        <v>299</v>
      </c>
      <c r="G36" s="74">
        <v>44348</v>
      </c>
      <c r="H36" s="76" t="s">
        <v>300</v>
      </c>
      <c r="I36" s="76" t="s">
        <v>301</v>
      </c>
      <c r="J36" s="76" t="s">
        <v>302</v>
      </c>
      <c r="K36" s="75">
        <v>26</v>
      </c>
      <c r="L36" s="79">
        <v>26</v>
      </c>
      <c r="M36" s="78" t="s">
        <v>101</v>
      </c>
      <c r="N36" s="78" t="s">
        <v>101</v>
      </c>
      <c r="O36" s="78" t="s">
        <v>101</v>
      </c>
      <c r="P36" s="78" t="s">
        <v>101</v>
      </c>
      <c r="Q36" s="74">
        <v>44334</v>
      </c>
      <c r="R36" s="75" t="s">
        <v>101</v>
      </c>
      <c r="S36" s="78" t="s">
        <v>70</v>
      </c>
      <c r="T36" s="78" t="s">
        <v>307</v>
      </c>
    </row>
    <row r="37" spans="1:20" ht="66" hidden="1" customHeight="1" x14ac:dyDescent="0.2">
      <c r="A37" s="73" t="str">
        <f>HYPERLINK("\\temaznet\taymaceng\Controlled_Documents\APPROVED DOCUMENTS\FORMS-APPROVED\QC\QUALITY TRACKER\" &amp; YEAR(B37) &amp; " 8D's\" &amp; "8D-RTB21-14","8D-RTB21-14")</f>
        <v>8D-RTB21-14</v>
      </c>
      <c r="B37" s="74">
        <v>44315</v>
      </c>
      <c r="C37" s="75" t="s">
        <v>80</v>
      </c>
      <c r="D37" s="75" t="s">
        <v>70</v>
      </c>
      <c r="E37" s="75" t="s">
        <v>70</v>
      </c>
      <c r="F37" s="75" t="s">
        <v>215</v>
      </c>
      <c r="G37" s="74">
        <v>44378</v>
      </c>
      <c r="H37" s="76" t="s">
        <v>337</v>
      </c>
      <c r="I37" s="75" t="s">
        <v>338</v>
      </c>
      <c r="J37" s="75">
        <v>1972</v>
      </c>
      <c r="K37" s="75">
        <v>150</v>
      </c>
      <c r="L37" s="79">
        <v>150</v>
      </c>
      <c r="M37" s="78" t="s">
        <v>101</v>
      </c>
      <c r="N37" s="78" t="s">
        <v>101</v>
      </c>
      <c r="O37" s="78" t="s">
        <v>101</v>
      </c>
      <c r="P37" s="78" t="s">
        <v>101</v>
      </c>
      <c r="Q37" s="74">
        <v>44369</v>
      </c>
      <c r="R37" s="75" t="s">
        <v>101</v>
      </c>
      <c r="S37" s="78" t="s">
        <v>70</v>
      </c>
      <c r="T37" s="78" t="s">
        <v>119</v>
      </c>
    </row>
    <row r="38" spans="1:20" ht="66" hidden="1" customHeight="1" x14ac:dyDescent="0.2">
      <c r="A38" s="73" t="str">
        <f>HYPERLINK("\\temaznet\taymaceng\Controlled_Documents\APPROVED DOCUMENTS\FORMS-APPROVED\QC\QUALITY TRACKER\" &amp; YEAR(B38) &amp; " 8D's\" &amp; "8D-RTB21-15","8D-RTB21-15")</f>
        <v>8D-RTB21-15</v>
      </c>
      <c r="B38" s="74">
        <v>44321</v>
      </c>
      <c r="C38" s="75" t="s">
        <v>80</v>
      </c>
      <c r="D38" s="75" t="s">
        <v>70</v>
      </c>
      <c r="E38" s="75" t="s">
        <v>70</v>
      </c>
      <c r="F38" s="75" t="s">
        <v>373</v>
      </c>
      <c r="G38" s="74">
        <v>44348</v>
      </c>
      <c r="H38" s="75" t="s">
        <v>374</v>
      </c>
      <c r="I38" s="75" t="s">
        <v>375</v>
      </c>
      <c r="J38" s="76" t="s">
        <v>292</v>
      </c>
      <c r="K38" s="75" t="s">
        <v>128</v>
      </c>
      <c r="L38" s="79" t="s">
        <v>128</v>
      </c>
      <c r="M38" s="78" t="s">
        <v>101</v>
      </c>
      <c r="N38" s="78" t="s">
        <v>101</v>
      </c>
      <c r="O38" s="78" t="s">
        <v>101</v>
      </c>
      <c r="P38" s="78" t="s">
        <v>101</v>
      </c>
      <c r="Q38" s="74">
        <v>44326</v>
      </c>
      <c r="R38" s="75" t="s">
        <v>101</v>
      </c>
      <c r="S38" s="78" t="s">
        <v>70</v>
      </c>
      <c r="T38" s="78" t="s">
        <v>268</v>
      </c>
    </row>
    <row r="39" spans="1:20" ht="66" customHeight="1" x14ac:dyDescent="0.2">
      <c r="A39" s="70" t="str">
        <f>HYPERLINK("\\temaznet\taymaceng\Controlled_Documents\APPROVED DOCUMENTS\FORMS-APPROVED\QC\QUALITY TRACKER\" &amp; YEAR(B39) &amp; " 8D's\" &amp; "8D-RTB21-16","8D-RTB21-16")</f>
        <v>8D-RTB21-16</v>
      </c>
      <c r="B39" s="65">
        <v>44321</v>
      </c>
      <c r="C39" s="66" t="s">
        <v>81</v>
      </c>
      <c r="D39" s="66" t="s">
        <v>70</v>
      </c>
      <c r="E39" s="66" t="s">
        <v>70</v>
      </c>
      <c r="F39" s="66"/>
      <c r="G39" s="65"/>
      <c r="H39" s="66"/>
      <c r="I39" s="72" t="s">
        <v>325</v>
      </c>
      <c r="J39" s="72" t="s">
        <v>293</v>
      </c>
      <c r="K39" s="66"/>
      <c r="L39" s="67"/>
      <c r="M39" s="68" t="s">
        <v>77</v>
      </c>
      <c r="N39" s="68" t="s">
        <v>77</v>
      </c>
      <c r="O39" s="68" t="s">
        <v>77</v>
      </c>
      <c r="P39" s="68" t="s">
        <v>77</v>
      </c>
      <c r="Q39" s="65"/>
      <c r="R39" s="66" t="s">
        <v>78</v>
      </c>
      <c r="S39" s="68"/>
      <c r="T39" s="68"/>
    </row>
    <row r="40" spans="1:20" ht="66" customHeight="1" x14ac:dyDescent="0.2">
      <c r="A40" s="70" t="str">
        <f>HYPERLINK("\\temaznet\taymaceng\Controlled_Documents\APPROVED DOCUMENTS\FORMS-APPROVED\QC\QUALITY TRACKER\" &amp; YEAR(B40) &amp; " 8D's\" &amp; "8D-RTB21-17","8D-RTB21-17")</f>
        <v>8D-RTB21-17</v>
      </c>
      <c r="B40" s="65">
        <v>44321</v>
      </c>
      <c r="C40" s="66"/>
      <c r="D40" s="66" t="s">
        <v>70</v>
      </c>
      <c r="E40" s="66" t="s">
        <v>70</v>
      </c>
      <c r="F40" s="66"/>
      <c r="G40" s="65"/>
      <c r="H40" s="66"/>
      <c r="I40" s="66"/>
      <c r="J40" s="66">
        <v>5127</v>
      </c>
      <c r="K40" s="66"/>
      <c r="L40" s="67"/>
      <c r="M40" s="68" t="s">
        <v>77</v>
      </c>
      <c r="N40" s="68" t="s">
        <v>77</v>
      </c>
      <c r="O40" s="68" t="s">
        <v>77</v>
      </c>
      <c r="P40" s="68" t="s">
        <v>77</v>
      </c>
      <c r="Q40" s="65"/>
      <c r="R40" s="66" t="s">
        <v>78</v>
      </c>
      <c r="S40" s="68"/>
      <c r="T40" s="68"/>
    </row>
    <row r="41" spans="1:20" ht="66" hidden="1" customHeight="1" x14ac:dyDescent="0.2">
      <c r="A41" s="73" t="str">
        <f>HYPERLINK("\\temaznet\taymaceng\Controlled_Documents\APPROVED DOCUMENTS\FORMS-APPROVED\QC\QUALITY TRACKER\" &amp; YEAR(B41) &amp; " 8D's\" &amp; "8D-RTB21-18","8D-RTB21-18")</f>
        <v>8D-RTB21-18</v>
      </c>
      <c r="B41" s="74">
        <v>44357</v>
      </c>
      <c r="C41" s="75" t="s">
        <v>80</v>
      </c>
      <c r="D41" s="75" t="s">
        <v>50</v>
      </c>
      <c r="E41" s="75" t="s">
        <v>223</v>
      </c>
      <c r="F41" s="75" t="s">
        <v>357</v>
      </c>
      <c r="G41" s="74">
        <v>44409</v>
      </c>
      <c r="H41" s="75" t="s">
        <v>355</v>
      </c>
      <c r="I41" s="75" t="s">
        <v>356</v>
      </c>
      <c r="J41" s="76" t="s">
        <v>341</v>
      </c>
      <c r="K41" s="75" t="s">
        <v>128</v>
      </c>
      <c r="L41" s="79">
        <v>1</v>
      </c>
      <c r="M41" s="78" t="s">
        <v>101</v>
      </c>
      <c r="N41" s="78" t="s">
        <v>101</v>
      </c>
      <c r="O41" s="78" t="s">
        <v>101</v>
      </c>
      <c r="P41" s="78" t="s">
        <v>101</v>
      </c>
      <c r="Q41" s="74">
        <v>44397</v>
      </c>
      <c r="R41" s="75" t="s">
        <v>101</v>
      </c>
      <c r="S41" s="78" t="s">
        <v>70</v>
      </c>
      <c r="T41" s="78" t="s">
        <v>235</v>
      </c>
    </row>
  </sheetData>
  <sheetProtection algorithmName="SHA-512" hashValue="3RiOcuMkBgfdMIGVGGwIVi8UssxGJAr36JQT+1dy3n/hq7/rSzpqR0cQf5lhnDNzgjNdFQMrCFVnQqStJxhgUA==" saltValue="8Cu2eL17ShcbF3IT+jlUCw==" spinCount="100000" sheet="1" objects="1" scenarios="1" autoFilter="0"/>
  <autoFilter ref="A3:T41" xr:uid="{00000000-0001-0000-0000-000000000000}">
    <filterColumn colId="17">
      <filters>
        <filter val="OPEN"/>
      </filters>
    </filterColumn>
  </autoFilter>
  <mergeCells count="4">
    <mergeCell ref="B1:C1"/>
    <mergeCell ref="J2:T2"/>
    <mergeCell ref="H1:T1"/>
    <mergeCell ref="A2:G2"/>
  </mergeCells>
  <phoneticPr fontId="16" type="noConversion"/>
  <conditionalFormatting sqref="A3:T3 A4:XFD1048576">
    <cfRule type="expression" dxfId="1" priority="3">
      <formula>ROW()=ActiveRow</formula>
    </cfRule>
  </conditionalFormatting>
  <conditionalFormatting sqref="A3:T3">
    <cfRule type="expression" dxfId="0" priority="2">
      <formula>COLUMN()=ActiveColumn</formula>
    </cfRule>
  </conditionalFormatting>
  <dataValidations count="5">
    <dataValidation type="list" allowBlank="1" showInputMessage="1" showErrorMessage="1" sqref="F1" xr:uid="{CB9D7D4D-3AFB-421A-99D8-880FEE9AF7AF}">
      <formula1>Priority</formula1>
    </dataValidation>
    <dataValidation type="list" allowBlank="1" showInputMessage="1" showErrorMessage="1" sqref="A1 G1:H1" xr:uid="{04254DAC-805C-4048-A220-E71389E4458E}">
      <formula1>ECO_Type</formula1>
    </dataValidation>
    <dataValidation type="list" allowBlank="1" showInputMessage="1" showErrorMessage="1" sqref="C4 C5 C6 C7 C8 C9 C10 C11 C12 C13 C14 C15 C16 C17 C18 C19 C20 C21 C22 C23 C24 C25 C26 C27 C28 C29 C30 C31 C32 C33 C34 C35 C36 C37 C38 C39 C40 C41" xr:uid="{95FC6F39-3C0E-446D-AAD4-BB4B0DA15A88}">
      <formula1>Type1</formula1>
    </dataValidation>
    <dataValidation type="list" allowBlank="1" showInputMessage="1" showErrorMessage="1" sqref="D4 S4 D5 S5 D6 S6 D7 S7 D8 S8 D9 S9 D10 S10 D11 S11 D12 S12 D13 S13 D14 S14 D15 S15 D16 S16 D17 S17 D18 S18 D19 S19 D20 S20 D21 S21 D22 S22 D23 S23 D24 S24 D25 S25 D26 S26 D27 S27 D28 S28 D29 S29 D30 S30 D31 S31 D32 S32 D33 S33 D34 S34 D35 S35 D36 S36 D37 S37 D38 S38 D39 S39 D40 S40 D41 S41" xr:uid="{BFE7CD75-A7C3-48AB-8B9F-DABED0B9B84E}">
      <formula1>Individual_Team_Members</formula1>
    </dataValidation>
    <dataValidation type="list" allowBlank="1" showInputMessage="1" showErrorMessage="1" sqref="E4 E5 E6 E7 E8 E9 E10 E11 E12 E13 E14 E15 E16 E17 E18 E19 E20 E21 E22 E23 E24 E25 E26 E27 E28 E29 E30 E31 E32 E33 E34 E35 E36 E37 E38 E39 E40 E41" xr:uid="{B478583F-7097-4636-85D1-82A13E481901}">
      <formula1>Members</formula1>
    </dataValidation>
  </dataValidations>
  <hyperlinks>
    <hyperlink ref="F1" location="'QUALITY LOG'!A1" display="Show All &quot;Complete&quot; 8D's" xr:uid="{00000000-0004-0000-0000-000002000000}"/>
    <hyperlink ref="E1" location="'QUALITY LOG'!A1" display="Show All &quot;OPEN&quot; 8Ds / Unfilter" xr:uid="{00000000-0004-0000-0000-000003000000}"/>
    <hyperlink ref="Q3" location="$K$3" display="$K$3" xr:uid="{00000000-0004-0000-0000-00000C000000}"/>
    <hyperlink ref="D1" location="'QUALITY LOG'!A1" display="'QUALITY LOG'!A1" xr:uid="{00000000-0004-0000-0000-000011000000}"/>
    <hyperlink ref="B1" display="Add New Row" xr:uid="{C468E002-F442-436C-8F68-8E1597D241CD}"/>
    <hyperlink ref="G1" location="'QUALITY LOG'!A1" display="Show ALL 8D's" xr:uid="{79A70B7A-4C41-44A9-A20B-AAA5D4FBD5DF}"/>
    <hyperlink ref="A1" location="'QUALITY LOG'!A1" display="Generate Form" xr:uid="{A6824045-BF05-495E-B9C9-527B64BA4357}"/>
    <hyperlink ref="D3" location="'QUALITY LOG'!D3" display="OWNER" xr:uid="{5CD09774-FFC3-4EF3-B396-673E2209118E}"/>
    <hyperlink ref="F3" location="'QUALITY LOG'!F3" display="Customer" xr:uid="{28E38AEA-AFE5-48DA-970B-FBE41674A533}"/>
  </hyperlinks>
  <pageMargins left="0.7" right="0.7" top="0.75" bottom="0.75" header="0.3" footer="0.3"/>
  <pageSetup scale="50" orientation="landscape" r:id="rId1"/>
  <customProperties>
    <customPr name="EpmWorksheetKeyString_GUID" r:id="rId2"/>
  </customProperties>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64F21-142E-40C0-A003-318C8231BAC6}">
  <sheetPr codeName="Sheet8"/>
  <dimension ref="A1:AJ41"/>
  <sheetViews>
    <sheetView topLeftCell="A19" zoomScale="50" zoomScaleNormal="50" workbookViewId="0">
      <selection activeCell="B38" sqref="B38"/>
    </sheetView>
  </sheetViews>
  <sheetFormatPr defaultColWidth="9.140625" defaultRowHeight="12.75" x14ac:dyDescent="0.2"/>
  <cols>
    <col min="1" max="1" width="15.85546875" style="47" customWidth="1"/>
    <col min="2" max="2" width="50.7109375" style="48" customWidth="1"/>
    <col min="3" max="3" width="12.7109375" style="47" customWidth="1"/>
    <col min="4" max="4" width="11.7109375" style="47" customWidth="1"/>
    <col min="5" max="5" width="12.7109375" style="47" customWidth="1"/>
    <col min="6" max="6" width="11.7109375" style="2" customWidth="1"/>
    <col min="7" max="7" width="50.7109375" style="47" customWidth="1"/>
    <col min="8" max="8" width="12.7109375" style="47" customWidth="1"/>
    <col min="9" max="9" width="11.7109375" style="47" customWidth="1"/>
    <col min="10" max="10" width="50.7109375" style="47" customWidth="1"/>
    <col min="11" max="11" width="12.7109375" style="47" customWidth="1"/>
    <col min="12" max="12" width="11.7109375" style="49" customWidth="1"/>
    <col min="13" max="13" width="12.7109375" style="47" customWidth="1"/>
    <col min="14" max="14" width="11.7109375" style="47" customWidth="1"/>
    <col min="15" max="15" width="12.7109375" style="47" customWidth="1"/>
    <col min="16" max="16" width="11.7109375" style="47" customWidth="1"/>
    <col min="17" max="17" width="50.7109375" style="1" customWidth="1"/>
    <col min="18" max="18" width="12.7109375" style="1" customWidth="1"/>
    <col min="19" max="19" width="11.7109375" style="1" customWidth="1"/>
    <col min="20" max="20" width="50.7109375" style="1" customWidth="1"/>
    <col min="21" max="21" width="12.7109375" style="1" customWidth="1"/>
    <col min="22" max="22" width="11.7109375" style="1" customWidth="1"/>
    <col min="23" max="23" width="50.7109375" style="1" customWidth="1"/>
    <col min="24" max="24" width="12.7109375" style="1" customWidth="1"/>
    <col min="25" max="25" width="11.7109375" style="1" customWidth="1"/>
    <col min="26" max="26" width="12.7109375" style="1" customWidth="1"/>
    <col min="27" max="27" width="11.7109375" style="1" customWidth="1"/>
    <col min="28" max="28" width="12.7109375" style="1" customWidth="1"/>
    <col min="29" max="29" width="11.7109375" style="1" customWidth="1"/>
    <col min="30" max="30" width="12.7109375" style="1" customWidth="1"/>
    <col min="31" max="31" width="11.7109375" style="1" customWidth="1"/>
    <col min="32" max="32" width="50.7109375" style="1" customWidth="1"/>
    <col min="33" max="33" width="12.7109375" style="1" customWidth="1"/>
    <col min="34" max="34" width="11.7109375" style="1" customWidth="1"/>
    <col min="35" max="35" width="12.7109375" style="1" customWidth="1"/>
    <col min="36" max="36" width="11.7109375" style="1" customWidth="1"/>
    <col min="37" max="16384" width="9.140625" style="1"/>
  </cols>
  <sheetData>
    <row r="1" spans="1:36" s="7" customFormat="1" ht="38.25" customHeight="1" x14ac:dyDescent="0.2">
      <c r="A1" s="93" t="s">
        <v>2</v>
      </c>
      <c r="B1" s="94"/>
      <c r="C1" s="94"/>
      <c r="D1" s="94"/>
      <c r="E1" s="94"/>
      <c r="F1" s="94"/>
      <c r="G1" s="94"/>
      <c r="H1" s="94"/>
      <c r="I1" s="94"/>
      <c r="J1" s="94"/>
      <c r="K1" s="94"/>
      <c r="L1" s="94"/>
      <c r="M1" s="94"/>
      <c r="N1" s="94"/>
      <c r="O1" s="94"/>
      <c r="P1" s="94"/>
      <c r="Q1" s="95"/>
      <c r="R1" s="95"/>
      <c r="S1" s="95"/>
      <c r="T1" s="95"/>
      <c r="U1" s="95"/>
      <c r="V1" s="95"/>
      <c r="W1" s="95"/>
      <c r="X1" s="95"/>
      <c r="Y1" s="95"/>
      <c r="Z1" s="95"/>
      <c r="AA1" s="95"/>
      <c r="AB1" s="95"/>
      <c r="AC1" s="95"/>
      <c r="AD1" s="95"/>
      <c r="AE1" s="95"/>
      <c r="AF1" s="95"/>
      <c r="AG1" s="95"/>
      <c r="AH1" s="95"/>
      <c r="AI1" s="95"/>
      <c r="AJ1" s="96"/>
    </row>
    <row r="2" spans="1:36" s="8" customFormat="1" ht="56.45" customHeight="1" x14ac:dyDescent="0.2">
      <c r="A2" s="16" t="s">
        <v>73</v>
      </c>
      <c r="B2" s="92" t="s">
        <v>17</v>
      </c>
      <c r="C2" s="92"/>
      <c r="D2" s="92"/>
      <c r="E2" s="92" t="s">
        <v>41</v>
      </c>
      <c r="F2" s="92"/>
      <c r="G2" s="92" t="s">
        <v>18</v>
      </c>
      <c r="H2" s="92"/>
      <c r="I2" s="92"/>
      <c r="J2" s="92"/>
      <c r="K2" s="92"/>
      <c r="L2" s="92"/>
      <c r="M2" s="92" t="s">
        <v>46</v>
      </c>
      <c r="N2" s="92"/>
      <c r="O2" s="92"/>
      <c r="P2" s="92"/>
      <c r="Q2" s="92" t="s">
        <v>19</v>
      </c>
      <c r="R2" s="92"/>
      <c r="S2" s="92"/>
      <c r="T2" s="92"/>
      <c r="U2" s="92"/>
      <c r="V2" s="92"/>
      <c r="W2" s="92"/>
      <c r="X2" s="92"/>
      <c r="Y2" s="92"/>
      <c r="Z2" s="92" t="s">
        <v>68</v>
      </c>
      <c r="AA2" s="92"/>
      <c r="AB2" s="92"/>
      <c r="AC2" s="92"/>
      <c r="AD2" s="92"/>
      <c r="AE2" s="92"/>
      <c r="AF2" s="92" t="s">
        <v>20</v>
      </c>
      <c r="AG2" s="92"/>
      <c r="AH2" s="92"/>
      <c r="AI2" s="92" t="s">
        <v>67</v>
      </c>
      <c r="AJ2" s="92"/>
    </row>
    <row r="3" spans="1:36" s="8" customFormat="1" ht="51" customHeight="1" x14ac:dyDescent="0.2">
      <c r="A3" s="17" t="s">
        <v>9</v>
      </c>
      <c r="B3" s="17">
        <v>1</v>
      </c>
      <c r="C3" s="18" t="s">
        <v>40</v>
      </c>
      <c r="D3" s="18" t="s">
        <v>11</v>
      </c>
      <c r="E3" s="18" t="s">
        <v>42</v>
      </c>
      <c r="F3" s="18" t="s">
        <v>45</v>
      </c>
      <c r="G3" s="17">
        <v>1</v>
      </c>
      <c r="H3" s="17" t="s">
        <v>54</v>
      </c>
      <c r="I3" s="17" t="s">
        <v>56</v>
      </c>
      <c r="J3" s="18">
        <v>2</v>
      </c>
      <c r="K3" s="18" t="s">
        <v>55</v>
      </c>
      <c r="L3" s="18" t="s">
        <v>58</v>
      </c>
      <c r="M3" s="18" t="s">
        <v>51</v>
      </c>
      <c r="N3" s="18" t="s">
        <v>57</v>
      </c>
      <c r="O3" s="18" t="s">
        <v>52</v>
      </c>
      <c r="P3" s="18" t="s">
        <v>59</v>
      </c>
      <c r="Q3" s="18">
        <v>1</v>
      </c>
      <c r="R3" s="18" t="s">
        <v>54</v>
      </c>
      <c r="S3" s="18" t="s">
        <v>56</v>
      </c>
      <c r="T3" s="18">
        <v>2</v>
      </c>
      <c r="U3" s="18" t="s">
        <v>61</v>
      </c>
      <c r="V3" s="18" t="s">
        <v>62</v>
      </c>
      <c r="W3" s="18">
        <v>3</v>
      </c>
      <c r="X3" s="18" t="s">
        <v>63</v>
      </c>
      <c r="Y3" s="18" t="s">
        <v>64</v>
      </c>
      <c r="Z3" s="18" t="s">
        <v>51</v>
      </c>
      <c r="AA3" s="18" t="s">
        <v>57</v>
      </c>
      <c r="AB3" s="18" t="s">
        <v>52</v>
      </c>
      <c r="AC3" s="18" t="s">
        <v>59</v>
      </c>
      <c r="AD3" s="18" t="s">
        <v>65</v>
      </c>
      <c r="AE3" s="18" t="s">
        <v>66</v>
      </c>
      <c r="AF3" s="18">
        <v>1</v>
      </c>
      <c r="AG3" s="18" t="s">
        <v>40</v>
      </c>
      <c r="AH3" s="18" t="s">
        <v>11</v>
      </c>
      <c r="AI3" s="18" t="s">
        <v>42</v>
      </c>
      <c r="AJ3" s="18" t="s">
        <v>45</v>
      </c>
    </row>
    <row r="4" spans="1:36" ht="66" customHeight="1" x14ac:dyDescent="0.2">
      <c r="A4" s="64" t="str">
        <f>HYPERLINK("\\temaznet\taymaceng\Controlled_Documents\APPROVED DOCUMENTS\FORMS-APPROVED\QC\QUALITY TRACKER\" &amp; YEAR('QUALITY LOG'!B4) &amp; " 8D's\" &amp; "8D-RTB20-1","8D-RTB20-1")</f>
        <v>8D-RTB20-1</v>
      </c>
      <c r="B4" s="62" t="s">
        <v>133</v>
      </c>
      <c r="C4" s="69"/>
      <c r="D4" s="61"/>
      <c r="E4" s="69"/>
      <c r="F4" s="61"/>
      <c r="G4" s="61" t="s">
        <v>84</v>
      </c>
      <c r="H4" s="61"/>
      <c r="I4" s="61" t="s">
        <v>71</v>
      </c>
      <c r="J4" s="61" t="s">
        <v>288</v>
      </c>
      <c r="K4" s="61"/>
      <c r="L4" s="63" t="s">
        <v>71</v>
      </c>
      <c r="M4" s="61"/>
      <c r="N4" s="61"/>
      <c r="O4" s="61"/>
      <c r="P4" s="61"/>
      <c r="Q4" s="61" t="s">
        <v>289</v>
      </c>
      <c r="R4" s="69">
        <v>44300</v>
      </c>
      <c r="S4" s="61"/>
      <c r="T4" s="61" t="s">
        <v>290</v>
      </c>
      <c r="U4" s="61"/>
      <c r="V4" s="61"/>
      <c r="W4" s="61"/>
      <c r="X4" s="61"/>
      <c r="Y4" s="61"/>
      <c r="Z4" s="61"/>
      <c r="AA4" s="61"/>
      <c r="AB4" s="61"/>
      <c r="AC4" s="61"/>
      <c r="AD4" s="61"/>
      <c r="AE4" s="61"/>
      <c r="AF4" s="61"/>
      <c r="AG4" s="61"/>
      <c r="AH4" s="61"/>
      <c r="AI4" s="61"/>
      <c r="AJ4" s="61"/>
    </row>
    <row r="5" spans="1:36" ht="66" customHeight="1" x14ac:dyDescent="0.2">
      <c r="A5" s="64" t="str">
        <f>HYPERLINK("\\temaznet\taymaceng\Controlled_Documents\APPROVED DOCUMENTS\FORMS-APPROVED\QC\QUALITY TRACKER\" &amp; YEAR('QUALITY LOG'!B5) &amp; " 8D's\" &amp; "8D-RTB20-2","8D-RTB20-2")</f>
        <v>8D-RTB20-2</v>
      </c>
      <c r="B5" s="62" t="s">
        <v>95</v>
      </c>
      <c r="C5" s="69">
        <v>44043</v>
      </c>
      <c r="D5" s="61" t="s">
        <v>70</v>
      </c>
      <c r="E5" s="69">
        <v>44200</v>
      </c>
      <c r="F5" s="61" t="s">
        <v>70</v>
      </c>
      <c r="G5" s="61" t="s">
        <v>87</v>
      </c>
      <c r="H5" s="69">
        <v>44028</v>
      </c>
      <c r="I5" s="61" t="s">
        <v>70</v>
      </c>
      <c r="J5" s="61"/>
      <c r="K5" s="61"/>
      <c r="L5" s="63"/>
      <c r="M5" s="69">
        <v>44200</v>
      </c>
      <c r="N5" s="61" t="s">
        <v>70</v>
      </c>
      <c r="O5" s="61"/>
      <c r="P5" s="61"/>
      <c r="Q5" s="61" t="s">
        <v>189</v>
      </c>
      <c r="R5" s="69">
        <v>44043</v>
      </c>
      <c r="S5" s="61" t="s">
        <v>70</v>
      </c>
      <c r="T5" s="61" t="s">
        <v>190</v>
      </c>
      <c r="U5" s="69">
        <v>44060</v>
      </c>
      <c r="V5" s="61" t="s">
        <v>70</v>
      </c>
      <c r="W5" s="61" t="s">
        <v>191</v>
      </c>
      <c r="X5" s="69">
        <v>44200</v>
      </c>
      <c r="Y5" s="61" t="s">
        <v>70</v>
      </c>
      <c r="Z5" s="69">
        <v>44200</v>
      </c>
      <c r="AA5" s="61" t="s">
        <v>70</v>
      </c>
      <c r="AB5" s="69">
        <v>44200</v>
      </c>
      <c r="AC5" s="61" t="s">
        <v>70</v>
      </c>
      <c r="AD5" s="69">
        <v>44200</v>
      </c>
      <c r="AE5" s="61" t="s">
        <v>70</v>
      </c>
      <c r="AF5" s="61" t="s">
        <v>204</v>
      </c>
      <c r="AG5" s="69">
        <v>44202</v>
      </c>
      <c r="AH5" s="61" t="s">
        <v>70</v>
      </c>
      <c r="AI5" s="69">
        <v>44202</v>
      </c>
      <c r="AJ5" s="61" t="s">
        <v>50</v>
      </c>
    </row>
    <row r="6" spans="1:36" ht="66" customHeight="1" x14ac:dyDescent="0.2">
      <c r="A6" s="64" t="str">
        <f>HYPERLINK("\\temaznet\taymaceng\Controlled_Documents\APPROVED DOCUMENTS\FORMS-APPROVED\QC\QUALITY TRACKER\" &amp; YEAR('QUALITY LOG'!B6) &amp; " 8D's\" &amp; "8D-RTB20-3","8D-RTB20-3")</f>
        <v>8D-RTB20-3</v>
      </c>
      <c r="B6" s="62" t="s">
        <v>126</v>
      </c>
      <c r="C6" s="69">
        <v>44090</v>
      </c>
      <c r="D6" s="61" t="s">
        <v>70</v>
      </c>
      <c r="E6" s="69">
        <v>44090</v>
      </c>
      <c r="F6" s="61" t="s">
        <v>70</v>
      </c>
      <c r="G6" s="61" t="s">
        <v>208</v>
      </c>
      <c r="H6" s="69">
        <v>44071</v>
      </c>
      <c r="I6" s="61" t="s">
        <v>70</v>
      </c>
      <c r="J6" s="61" t="s">
        <v>116</v>
      </c>
      <c r="K6" s="69">
        <v>44071</v>
      </c>
      <c r="L6" s="63" t="s">
        <v>70</v>
      </c>
      <c r="M6" s="69">
        <v>44090</v>
      </c>
      <c r="N6" s="61" t="s">
        <v>70</v>
      </c>
      <c r="O6" s="69">
        <v>44090</v>
      </c>
      <c r="P6" s="61" t="s">
        <v>70</v>
      </c>
      <c r="Q6" s="61" t="s">
        <v>127</v>
      </c>
      <c r="R6" s="69">
        <v>44090</v>
      </c>
      <c r="S6" s="61" t="s">
        <v>70</v>
      </c>
      <c r="T6" s="61"/>
      <c r="U6" s="69"/>
      <c r="V6" s="61"/>
      <c r="W6" s="61"/>
      <c r="X6" s="61"/>
      <c r="Y6" s="61"/>
      <c r="Z6" s="69">
        <v>44090</v>
      </c>
      <c r="AA6" s="61" t="s">
        <v>70</v>
      </c>
      <c r="AB6" s="61"/>
      <c r="AC6" s="61"/>
      <c r="AD6" s="61"/>
      <c r="AE6" s="61"/>
      <c r="AF6" s="61" t="s">
        <v>125</v>
      </c>
      <c r="AG6" s="69">
        <v>44090</v>
      </c>
      <c r="AH6" s="61" t="s">
        <v>70</v>
      </c>
      <c r="AI6" s="69">
        <v>44090</v>
      </c>
      <c r="AJ6" s="61" t="s">
        <v>70</v>
      </c>
    </row>
    <row r="7" spans="1:36" ht="66" customHeight="1" x14ac:dyDescent="0.2">
      <c r="A7" s="64" t="str">
        <f>HYPERLINK("\\temaznet\taymaceng\Controlled_Documents\APPROVED DOCUMENTS\FORMS-APPROVED\QC\QUALITY TRACKER\" &amp; YEAR('QUALITY LOG'!B7) &amp; " 8D's\" &amp; "8D-RTB20-4","8D-RTB20-4")</f>
        <v>8D-RTB20-4</v>
      </c>
      <c r="B7" s="62" t="s">
        <v>97</v>
      </c>
      <c r="C7" s="69">
        <v>44060</v>
      </c>
      <c r="D7" s="61" t="s">
        <v>70</v>
      </c>
      <c r="E7" s="69">
        <v>44060</v>
      </c>
      <c r="F7" s="61" t="s">
        <v>70</v>
      </c>
      <c r="G7" s="61" t="s">
        <v>90</v>
      </c>
      <c r="H7" s="69">
        <v>44028</v>
      </c>
      <c r="I7" s="61" t="s">
        <v>70</v>
      </c>
      <c r="J7" s="61"/>
      <c r="K7" s="61"/>
      <c r="L7" s="63"/>
      <c r="M7" s="69">
        <v>44060</v>
      </c>
      <c r="N7" s="61" t="s">
        <v>70</v>
      </c>
      <c r="O7" s="61"/>
      <c r="P7" s="61"/>
      <c r="Q7" s="61" t="s">
        <v>99</v>
      </c>
      <c r="R7" s="69">
        <v>44060</v>
      </c>
      <c r="S7" s="61" t="s">
        <v>70</v>
      </c>
      <c r="T7" s="61"/>
      <c r="U7" s="61"/>
      <c r="V7" s="61"/>
      <c r="W7" s="61"/>
      <c r="X7" s="61"/>
      <c r="Y7" s="61"/>
      <c r="Z7" s="69">
        <v>44060</v>
      </c>
      <c r="AA7" s="61" t="s">
        <v>70</v>
      </c>
      <c r="AB7" s="61"/>
      <c r="AC7" s="61"/>
      <c r="AD7" s="61"/>
      <c r="AE7" s="61"/>
      <c r="AF7" s="61" t="s">
        <v>100</v>
      </c>
      <c r="AG7" s="69">
        <v>44060</v>
      </c>
      <c r="AH7" s="61" t="s">
        <v>70</v>
      </c>
      <c r="AI7" s="69">
        <v>44060</v>
      </c>
      <c r="AJ7" s="61" t="s">
        <v>70</v>
      </c>
    </row>
    <row r="8" spans="1:36" ht="66" customHeight="1" x14ac:dyDescent="0.2">
      <c r="A8" s="64" t="str">
        <f>HYPERLINK("\\temaznet\taymaceng\Controlled_Documents\APPROVED DOCUMENTS\FORMS-APPROVED\QC\QUALITY TRACKER\" &amp; YEAR('QUALITY LOG'!B8) &amp; " 8D's\" &amp; "8D-RTB20-5","8D-RTB20-5")</f>
        <v>8D-RTB20-5</v>
      </c>
      <c r="B8" s="62" t="s">
        <v>200</v>
      </c>
      <c r="C8" s="69">
        <v>44201</v>
      </c>
      <c r="D8" s="61" t="s">
        <v>70</v>
      </c>
      <c r="E8" s="69">
        <v>44201</v>
      </c>
      <c r="F8" s="61" t="s">
        <v>70</v>
      </c>
      <c r="G8" s="61" t="s">
        <v>201</v>
      </c>
      <c r="H8" s="69">
        <v>44201</v>
      </c>
      <c r="I8" s="61" t="s">
        <v>70</v>
      </c>
      <c r="J8" s="61" t="s">
        <v>202</v>
      </c>
      <c r="K8" s="69">
        <v>44201</v>
      </c>
      <c r="L8" s="63" t="s">
        <v>70</v>
      </c>
      <c r="M8" s="69">
        <v>44201</v>
      </c>
      <c r="N8" s="61" t="s">
        <v>70</v>
      </c>
      <c r="O8" s="69">
        <v>44201</v>
      </c>
      <c r="P8" s="61" t="s">
        <v>70</v>
      </c>
      <c r="Q8" s="61" t="s">
        <v>99</v>
      </c>
      <c r="R8" s="69">
        <v>44201</v>
      </c>
      <c r="S8" s="61" t="s">
        <v>70</v>
      </c>
      <c r="T8" s="61"/>
      <c r="U8" s="61"/>
      <c r="V8" s="61"/>
      <c r="W8" s="61"/>
      <c r="X8" s="61"/>
      <c r="Y8" s="61"/>
      <c r="Z8" s="69">
        <v>44201</v>
      </c>
      <c r="AA8" s="61" t="s">
        <v>70</v>
      </c>
      <c r="AB8" s="61"/>
      <c r="AC8" s="61"/>
      <c r="AD8" s="61"/>
      <c r="AE8" s="61"/>
      <c r="AF8" s="61" t="s">
        <v>100</v>
      </c>
      <c r="AG8" s="69">
        <v>44201</v>
      </c>
      <c r="AH8" s="61" t="s">
        <v>70</v>
      </c>
      <c r="AI8" s="69">
        <v>44201</v>
      </c>
      <c r="AJ8" s="61" t="s">
        <v>70</v>
      </c>
    </row>
    <row r="9" spans="1:36" ht="66" customHeight="1" x14ac:dyDescent="0.2">
      <c r="A9" s="64" t="str">
        <f>HYPERLINK("\\temaznet\taymaceng\Controlled_Documents\APPROVED DOCUMENTS\FORMS-APPROVED\QC\QUALITY TRACKER\" &amp; YEAR('QUALITY LOG'!B9) &amp; " 8D's\" &amp; "8D-RTB20-6","8D-RTB20-6")</f>
        <v>8D-RTB20-6</v>
      </c>
      <c r="B9" s="62" t="s">
        <v>108</v>
      </c>
      <c r="C9" s="69">
        <v>44067</v>
      </c>
      <c r="D9" s="61" t="s">
        <v>70</v>
      </c>
      <c r="E9" s="69">
        <v>44067</v>
      </c>
      <c r="F9" s="61" t="s">
        <v>70</v>
      </c>
      <c r="G9" s="61" t="s">
        <v>107</v>
      </c>
      <c r="H9" s="69">
        <v>44067</v>
      </c>
      <c r="I9" s="61" t="s">
        <v>70</v>
      </c>
      <c r="J9" s="61" t="s">
        <v>110</v>
      </c>
      <c r="K9" s="69">
        <v>44067</v>
      </c>
      <c r="L9" s="63" t="s">
        <v>70</v>
      </c>
      <c r="M9" s="69">
        <v>44067</v>
      </c>
      <c r="N9" s="61" t="s">
        <v>70</v>
      </c>
      <c r="O9" s="69">
        <v>44067</v>
      </c>
      <c r="P9" s="61" t="s">
        <v>70</v>
      </c>
      <c r="Q9" s="61" t="s">
        <v>109</v>
      </c>
      <c r="R9" s="69">
        <v>44067</v>
      </c>
      <c r="S9" s="61" t="s">
        <v>70</v>
      </c>
      <c r="T9" s="61"/>
      <c r="U9" s="61"/>
      <c r="V9" s="61"/>
      <c r="W9" s="61"/>
      <c r="X9" s="61"/>
      <c r="Y9" s="61"/>
      <c r="Z9" s="69">
        <v>44067</v>
      </c>
      <c r="AA9" s="61" t="s">
        <v>70</v>
      </c>
      <c r="AB9" s="61"/>
      <c r="AC9" s="61"/>
      <c r="AD9" s="61"/>
      <c r="AE9" s="61"/>
      <c r="AF9" s="61" t="s">
        <v>111</v>
      </c>
      <c r="AG9" s="69">
        <v>44067</v>
      </c>
      <c r="AH9" s="61" t="s">
        <v>70</v>
      </c>
      <c r="AI9" s="69">
        <v>44067</v>
      </c>
      <c r="AJ9" s="61" t="s">
        <v>70</v>
      </c>
    </row>
    <row r="10" spans="1:36" ht="66" customHeight="1" x14ac:dyDescent="0.2">
      <c r="A10" s="64" t="str">
        <f>HYPERLINK("\\temaznet\taymaceng\Controlled_Documents\APPROVED DOCUMENTS\FORMS-APPROVED\QC\QUALITY TRACKER\" &amp; YEAR('QUALITY LOG'!B10) &amp; " 8D's\" &amp; "8D-RTB20-7","8D-RTB20-7")</f>
        <v>8D-RTB20-7</v>
      </c>
      <c r="B10" s="62" t="s">
        <v>135</v>
      </c>
      <c r="C10" s="69">
        <v>44109</v>
      </c>
      <c r="D10" s="61" t="s">
        <v>70</v>
      </c>
      <c r="E10" s="69">
        <v>44109</v>
      </c>
      <c r="F10" s="61" t="s">
        <v>70</v>
      </c>
      <c r="G10" s="61" t="s">
        <v>139</v>
      </c>
      <c r="H10" s="69">
        <v>44109</v>
      </c>
      <c r="I10" s="61" t="s">
        <v>70</v>
      </c>
      <c r="J10" s="61"/>
      <c r="K10" s="61"/>
      <c r="L10" s="63"/>
      <c r="M10" s="69">
        <v>44109</v>
      </c>
      <c r="N10" s="61" t="s">
        <v>70</v>
      </c>
      <c r="O10" s="61"/>
      <c r="P10" s="61"/>
      <c r="Q10" s="61" t="s">
        <v>134</v>
      </c>
      <c r="R10" s="69">
        <v>44109</v>
      </c>
      <c r="S10" s="61" t="s">
        <v>70</v>
      </c>
      <c r="T10" s="61" t="s">
        <v>136</v>
      </c>
      <c r="U10" s="69">
        <v>44109</v>
      </c>
      <c r="V10" s="61" t="s">
        <v>70</v>
      </c>
      <c r="W10" s="61" t="s">
        <v>137</v>
      </c>
      <c r="X10" s="69">
        <v>44109</v>
      </c>
      <c r="Y10" s="61" t="s">
        <v>70</v>
      </c>
      <c r="Z10" s="69">
        <v>44109</v>
      </c>
      <c r="AA10" s="61" t="s">
        <v>70</v>
      </c>
      <c r="AB10" s="69">
        <v>44109</v>
      </c>
      <c r="AC10" s="61" t="s">
        <v>70</v>
      </c>
      <c r="AD10" s="69">
        <v>44109</v>
      </c>
      <c r="AE10" s="61" t="s">
        <v>70</v>
      </c>
      <c r="AF10" s="61" t="s">
        <v>138</v>
      </c>
      <c r="AG10" s="69">
        <v>44109</v>
      </c>
      <c r="AH10" s="61" t="s">
        <v>70</v>
      </c>
      <c r="AI10" s="69">
        <v>44109</v>
      </c>
      <c r="AJ10" s="61" t="s">
        <v>70</v>
      </c>
    </row>
    <row r="11" spans="1:36" ht="66" customHeight="1" x14ac:dyDescent="0.2">
      <c r="A11" s="64" t="str">
        <f>HYPERLINK("\\temaznet\taymaceng\Controlled_Documents\APPROVED DOCUMENTS\FORMS-APPROVED\QC\QUALITY TRACKER\" &amp; YEAR('QUALITY LOG'!B11) &amp; " 8D's\" &amp; "8D-RTB20-8","8D-RTB20-8")</f>
        <v>8D-RTB20-8</v>
      </c>
      <c r="B11" s="62" t="s">
        <v>154</v>
      </c>
      <c r="C11" s="69">
        <v>44113</v>
      </c>
      <c r="D11" s="61" t="s">
        <v>70</v>
      </c>
      <c r="E11" s="69">
        <v>44113</v>
      </c>
      <c r="F11" s="61" t="s">
        <v>70</v>
      </c>
      <c r="G11" s="61" t="s">
        <v>156</v>
      </c>
      <c r="H11" s="69">
        <v>44113</v>
      </c>
      <c r="I11" s="61" t="s">
        <v>70</v>
      </c>
      <c r="J11" s="61" t="s">
        <v>157</v>
      </c>
      <c r="K11" s="69">
        <v>44113</v>
      </c>
      <c r="L11" s="63" t="s">
        <v>70</v>
      </c>
      <c r="M11" s="69">
        <v>44113</v>
      </c>
      <c r="N11" s="61" t="s">
        <v>70</v>
      </c>
      <c r="O11" s="69">
        <v>44113</v>
      </c>
      <c r="P11" s="61" t="s">
        <v>70</v>
      </c>
      <c r="Q11" s="61" t="s">
        <v>158</v>
      </c>
      <c r="R11" s="69">
        <v>44113</v>
      </c>
      <c r="S11" s="61" t="s">
        <v>70</v>
      </c>
      <c r="T11" s="61" t="s">
        <v>159</v>
      </c>
      <c r="U11" s="69">
        <v>44113</v>
      </c>
      <c r="V11" s="61" t="s">
        <v>70</v>
      </c>
      <c r="W11" s="61" t="s">
        <v>160</v>
      </c>
      <c r="X11" s="69">
        <v>44113</v>
      </c>
      <c r="Y11" s="61" t="s">
        <v>70</v>
      </c>
      <c r="Z11" s="69">
        <v>44113</v>
      </c>
      <c r="AA11" s="61" t="s">
        <v>70</v>
      </c>
      <c r="AB11" s="69">
        <v>44113</v>
      </c>
      <c r="AC11" s="61" t="s">
        <v>70</v>
      </c>
      <c r="AD11" s="69">
        <v>44113</v>
      </c>
      <c r="AE11" s="61" t="s">
        <v>70</v>
      </c>
      <c r="AF11" s="61" t="s">
        <v>100</v>
      </c>
      <c r="AG11" s="69">
        <v>44113</v>
      </c>
      <c r="AH11" s="61" t="s">
        <v>70</v>
      </c>
      <c r="AI11" s="69">
        <v>44113</v>
      </c>
      <c r="AJ11" s="61" t="s">
        <v>70</v>
      </c>
    </row>
    <row r="12" spans="1:36" ht="66" customHeight="1" x14ac:dyDescent="0.2">
      <c r="A12" s="64" t="str">
        <f>HYPERLINK("\\temaznet\taymaceng\Controlled_Documents\APPROVED DOCUMENTS\FORMS-APPROVED\QC\QUALITY TRACKER\" &amp; YEAR('QUALITY LOG'!B12) &amp; " 8D's\" &amp; "8D-RTB20-9","8D-RTB20-9")</f>
        <v>8D-RTB20-9</v>
      </c>
      <c r="B12" s="62" t="s">
        <v>146</v>
      </c>
      <c r="C12" s="69">
        <v>43962</v>
      </c>
      <c r="D12" s="61" t="s">
        <v>71</v>
      </c>
      <c r="E12" s="69">
        <v>44216</v>
      </c>
      <c r="F12" s="61" t="s">
        <v>70</v>
      </c>
      <c r="G12" s="61" t="s">
        <v>147</v>
      </c>
      <c r="H12" s="69">
        <v>44051</v>
      </c>
      <c r="I12" s="61" t="s">
        <v>71</v>
      </c>
      <c r="J12" s="61" t="s">
        <v>155</v>
      </c>
      <c r="K12" s="69">
        <v>44051</v>
      </c>
      <c r="L12" s="63" t="s">
        <v>71</v>
      </c>
      <c r="M12" s="69">
        <v>44216</v>
      </c>
      <c r="N12" s="61" t="s">
        <v>70</v>
      </c>
      <c r="O12" s="69">
        <v>44216</v>
      </c>
      <c r="P12" s="61" t="s">
        <v>70</v>
      </c>
      <c r="Q12" s="61" t="s">
        <v>239</v>
      </c>
      <c r="R12" s="69">
        <v>43979</v>
      </c>
      <c r="S12" s="61" t="s">
        <v>71</v>
      </c>
      <c r="T12" s="61" t="s">
        <v>240</v>
      </c>
      <c r="U12" s="69">
        <v>44037</v>
      </c>
      <c r="V12" s="61" t="s">
        <v>71</v>
      </c>
      <c r="W12" s="61" t="s">
        <v>241</v>
      </c>
      <c r="X12" s="69">
        <v>44037</v>
      </c>
      <c r="Y12" s="61" t="s">
        <v>71</v>
      </c>
      <c r="Z12" s="69">
        <v>44216</v>
      </c>
      <c r="AA12" s="61" t="s">
        <v>70</v>
      </c>
      <c r="AB12" s="69">
        <v>44230</v>
      </c>
      <c r="AC12" s="61" t="s">
        <v>70</v>
      </c>
      <c r="AD12" s="69">
        <v>44230</v>
      </c>
      <c r="AE12" s="61" t="s">
        <v>70</v>
      </c>
      <c r="AF12" s="61" t="s">
        <v>100</v>
      </c>
      <c r="AG12" s="69">
        <v>44230</v>
      </c>
      <c r="AH12" s="61" t="s">
        <v>70</v>
      </c>
      <c r="AI12" s="69">
        <v>44230</v>
      </c>
      <c r="AJ12" s="61" t="s">
        <v>70</v>
      </c>
    </row>
    <row r="13" spans="1:36" ht="66" customHeight="1" x14ac:dyDescent="0.2">
      <c r="A13" s="64" t="str">
        <f>HYPERLINK("\\temaznet\taymaceng\Controlled_Documents\APPROVED DOCUMENTS\FORMS-APPROVED\QC\QUALITY TRACKER\" &amp; YEAR('QUALITY LOG'!B13) &amp; " 8D's\" &amp; "8D-RTB20-10","8D-RTB20-10")</f>
        <v>8D-RTB20-10</v>
      </c>
      <c r="B13" s="62" t="s">
        <v>263</v>
      </c>
      <c r="C13" s="69">
        <v>44166</v>
      </c>
      <c r="D13" s="61" t="s">
        <v>70</v>
      </c>
      <c r="E13" s="69">
        <v>44166</v>
      </c>
      <c r="F13" s="61" t="s">
        <v>70</v>
      </c>
      <c r="G13" s="61" t="s">
        <v>262</v>
      </c>
      <c r="H13" s="69">
        <v>44166</v>
      </c>
      <c r="I13" s="61" t="s">
        <v>70</v>
      </c>
      <c r="J13" s="61"/>
      <c r="K13" s="61"/>
      <c r="L13" s="63"/>
      <c r="M13" s="69">
        <v>44166</v>
      </c>
      <c r="N13" s="61" t="s">
        <v>70</v>
      </c>
      <c r="O13" s="61"/>
      <c r="P13" s="61"/>
      <c r="Q13" s="61" t="s">
        <v>127</v>
      </c>
      <c r="R13" s="69">
        <v>44166</v>
      </c>
      <c r="S13" s="61" t="s">
        <v>70</v>
      </c>
      <c r="T13" s="61"/>
      <c r="U13" s="61"/>
      <c r="V13" s="61"/>
      <c r="W13" s="61"/>
      <c r="X13" s="61"/>
      <c r="Y13" s="61"/>
      <c r="Z13" s="69">
        <v>44166</v>
      </c>
      <c r="AA13" s="61" t="s">
        <v>70</v>
      </c>
      <c r="AB13" s="61"/>
      <c r="AC13" s="61"/>
      <c r="AD13" s="61"/>
      <c r="AE13" s="61"/>
      <c r="AF13" s="61" t="s">
        <v>261</v>
      </c>
      <c r="AG13" s="69">
        <v>44166</v>
      </c>
      <c r="AH13" s="61" t="s">
        <v>70</v>
      </c>
      <c r="AI13" s="69">
        <v>44166</v>
      </c>
      <c r="AJ13" s="61" t="s">
        <v>70</v>
      </c>
    </row>
    <row r="14" spans="1:36" ht="66" customHeight="1" x14ac:dyDescent="0.2">
      <c r="A14" s="64" t="str">
        <f>HYPERLINK("\\temaznet\taymaceng\Controlled_Documents\APPROVED DOCUMENTS\FORMS-APPROVED\QC\QUALITY TRACKER\" &amp; YEAR('QUALITY LOG'!B14) &amp; " 8D's\" &amp; "8D-RTB20-11","8D-RTB20-11")</f>
        <v>8D-RTB20-11</v>
      </c>
      <c r="B14" s="62" t="s">
        <v>148</v>
      </c>
      <c r="C14" s="69">
        <v>44110</v>
      </c>
      <c r="D14" s="61" t="s">
        <v>70</v>
      </c>
      <c r="E14" s="69">
        <v>44110</v>
      </c>
      <c r="F14" s="61" t="s">
        <v>70</v>
      </c>
      <c r="G14" s="61" t="s">
        <v>161</v>
      </c>
      <c r="H14" s="69">
        <v>44113</v>
      </c>
      <c r="I14" s="61" t="s">
        <v>70</v>
      </c>
      <c r="J14" s="61"/>
      <c r="K14" s="61"/>
      <c r="L14" s="63"/>
      <c r="M14" s="69">
        <v>44113</v>
      </c>
      <c r="N14" s="61" t="s">
        <v>70</v>
      </c>
      <c r="O14" s="61"/>
      <c r="P14" s="61"/>
      <c r="Q14" s="61" t="s">
        <v>149</v>
      </c>
      <c r="R14" s="69">
        <v>44110</v>
      </c>
      <c r="S14" s="61" t="s">
        <v>70</v>
      </c>
      <c r="T14" s="61" t="s">
        <v>163</v>
      </c>
      <c r="U14" s="69">
        <v>44110</v>
      </c>
      <c r="V14" s="61" t="s">
        <v>70</v>
      </c>
      <c r="W14" s="61" t="s">
        <v>150</v>
      </c>
      <c r="X14" s="69">
        <v>44110</v>
      </c>
      <c r="Y14" s="61" t="s">
        <v>70</v>
      </c>
      <c r="Z14" s="69">
        <v>44110</v>
      </c>
      <c r="AA14" s="61" t="s">
        <v>70</v>
      </c>
      <c r="AB14" s="69">
        <v>44110</v>
      </c>
      <c r="AC14" s="61" t="s">
        <v>70</v>
      </c>
      <c r="AD14" s="69">
        <v>44110</v>
      </c>
      <c r="AE14" s="61" t="s">
        <v>70</v>
      </c>
      <c r="AF14" s="61" t="s">
        <v>162</v>
      </c>
      <c r="AG14" s="69">
        <v>44113</v>
      </c>
      <c r="AH14" s="61" t="s">
        <v>70</v>
      </c>
      <c r="AI14" s="69">
        <v>44113</v>
      </c>
      <c r="AJ14" s="61" t="s">
        <v>70</v>
      </c>
    </row>
    <row r="15" spans="1:36" ht="66" customHeight="1" x14ac:dyDescent="0.2">
      <c r="A15" s="64" t="str">
        <f>HYPERLINK("\\temaznet\taymaceng\Controlled_Documents\APPROVED DOCUMENTS\FORMS-APPROVED\QC\QUALITY TRACKER\" &amp; YEAR('QUALITY LOG'!B15) &amp; " 8D's\" &amp; "8D-RTB20-12","8D-RTB20-12")</f>
        <v>8D-RTB20-12</v>
      </c>
      <c r="B15" s="62" t="s">
        <v>196</v>
      </c>
      <c r="C15" s="69">
        <v>44200</v>
      </c>
      <c r="D15" s="61" t="s">
        <v>70</v>
      </c>
      <c r="E15" s="69">
        <v>44200</v>
      </c>
      <c r="F15" s="61" t="s">
        <v>70</v>
      </c>
      <c r="G15" s="61" t="s">
        <v>197</v>
      </c>
      <c r="H15" s="69">
        <v>44200</v>
      </c>
      <c r="I15" s="61" t="s">
        <v>70</v>
      </c>
      <c r="J15" s="61"/>
      <c r="K15" s="61"/>
      <c r="L15" s="63"/>
      <c r="M15" s="69">
        <v>44200</v>
      </c>
      <c r="N15" s="61" t="s">
        <v>70</v>
      </c>
      <c r="O15" s="61"/>
      <c r="P15" s="61"/>
      <c r="Q15" s="61" t="s">
        <v>99</v>
      </c>
      <c r="R15" s="69">
        <v>44200</v>
      </c>
      <c r="S15" s="61" t="s">
        <v>70</v>
      </c>
      <c r="T15" s="61"/>
      <c r="U15" s="61"/>
      <c r="V15" s="61"/>
      <c r="W15" s="61"/>
      <c r="X15" s="61"/>
      <c r="Y15" s="61"/>
      <c r="Z15" s="69">
        <v>44200</v>
      </c>
      <c r="AA15" s="61" t="s">
        <v>70</v>
      </c>
      <c r="AB15" s="61"/>
      <c r="AC15" s="61"/>
      <c r="AD15" s="61"/>
      <c r="AE15" s="61"/>
      <c r="AF15" s="61" t="s">
        <v>100</v>
      </c>
      <c r="AG15" s="69">
        <v>44200</v>
      </c>
      <c r="AH15" s="61" t="s">
        <v>70</v>
      </c>
      <c r="AI15" s="69">
        <v>44200</v>
      </c>
      <c r="AJ15" s="61" t="s">
        <v>70</v>
      </c>
    </row>
    <row r="16" spans="1:36" ht="66" customHeight="1" x14ac:dyDescent="0.2">
      <c r="A16" s="64" t="str">
        <f>HYPERLINK("\\temaznet\taymaceng\Controlled_Documents\APPROVED DOCUMENTS\FORMS-APPROVED\QC\QUALITY TRACKER\" &amp; YEAR('QUALITY LOG'!B16) &amp; " 8D's\" &amp; "8D-RTB20-13","8D-RTB20-13")</f>
        <v>8D-RTB20-13</v>
      </c>
      <c r="B16" s="62" t="s">
        <v>294</v>
      </c>
      <c r="C16" s="69">
        <v>44334</v>
      </c>
      <c r="D16" s="61" t="s">
        <v>70</v>
      </c>
      <c r="E16" s="69">
        <v>44334</v>
      </c>
      <c r="F16" s="61" t="s">
        <v>70</v>
      </c>
      <c r="G16" s="61" t="s">
        <v>295</v>
      </c>
      <c r="H16" s="69">
        <v>44334</v>
      </c>
      <c r="I16" s="61" t="s">
        <v>70</v>
      </c>
      <c r="J16" s="61" t="s">
        <v>296</v>
      </c>
      <c r="K16" s="69">
        <v>44334</v>
      </c>
      <c r="L16" s="63" t="s">
        <v>70</v>
      </c>
      <c r="M16" s="69">
        <v>44334</v>
      </c>
      <c r="N16" s="61" t="s">
        <v>70</v>
      </c>
      <c r="O16" s="69">
        <v>44334</v>
      </c>
      <c r="P16" s="61" t="s">
        <v>70</v>
      </c>
      <c r="Q16" s="61" t="s">
        <v>127</v>
      </c>
      <c r="R16" s="69">
        <v>44334</v>
      </c>
      <c r="S16" s="61" t="s">
        <v>70</v>
      </c>
      <c r="T16" s="61"/>
      <c r="U16" s="61"/>
      <c r="V16" s="61"/>
      <c r="W16" s="61"/>
      <c r="X16" s="61"/>
      <c r="Y16" s="61"/>
      <c r="Z16" s="69">
        <v>44334</v>
      </c>
      <c r="AA16" s="61" t="s">
        <v>70</v>
      </c>
      <c r="AB16" s="61"/>
      <c r="AC16" s="61"/>
      <c r="AD16" s="61"/>
      <c r="AE16" s="61"/>
      <c r="AF16" s="61" t="s">
        <v>297</v>
      </c>
      <c r="AG16" s="69">
        <v>44334</v>
      </c>
      <c r="AH16" s="61" t="s">
        <v>70</v>
      </c>
      <c r="AI16" s="69">
        <v>44334</v>
      </c>
      <c r="AJ16" s="61" t="s">
        <v>70</v>
      </c>
    </row>
    <row r="17" spans="1:36" ht="66" customHeight="1" x14ac:dyDescent="0.2">
      <c r="A17" s="64" t="str">
        <f>HYPERLINK("\\temaznet\taymaceng\Controlled_Documents\APPROVED DOCUMENTS\FORMS-APPROVED\QC\QUALITY TRACKER\" &amp; YEAR('QUALITY LOG'!B17) &amp; " 8D's\" &amp; "8D-RTB20-14","8D-RTB20-14")</f>
        <v>8D-RTB20-14</v>
      </c>
      <c r="B17" s="62" t="s">
        <v>176</v>
      </c>
      <c r="C17" s="69">
        <v>44097</v>
      </c>
      <c r="D17" s="61" t="s">
        <v>70</v>
      </c>
      <c r="E17" s="69">
        <v>44153</v>
      </c>
      <c r="F17" s="61" t="s">
        <v>70</v>
      </c>
      <c r="G17" s="61" t="s">
        <v>178</v>
      </c>
      <c r="H17" s="69">
        <v>44097</v>
      </c>
      <c r="I17" s="61" t="s">
        <v>70</v>
      </c>
      <c r="J17" s="61" t="s">
        <v>179</v>
      </c>
      <c r="K17" s="69">
        <v>44097</v>
      </c>
      <c r="L17" s="63" t="s">
        <v>70</v>
      </c>
      <c r="M17" s="69">
        <v>44153</v>
      </c>
      <c r="N17" s="61" t="s">
        <v>70</v>
      </c>
      <c r="O17" s="69">
        <v>44153</v>
      </c>
      <c r="P17" s="61" t="s">
        <v>70</v>
      </c>
      <c r="Q17" s="61" t="s">
        <v>243</v>
      </c>
      <c r="R17" s="69"/>
      <c r="S17" s="61"/>
      <c r="T17" s="61" t="s">
        <v>244</v>
      </c>
      <c r="U17" s="61"/>
      <c r="V17" s="61"/>
      <c r="W17" s="61"/>
      <c r="X17" s="61"/>
      <c r="Y17" s="61"/>
      <c r="Z17" s="69"/>
      <c r="AA17" s="61"/>
      <c r="AB17" s="61"/>
      <c r="AC17" s="61"/>
      <c r="AD17" s="61"/>
      <c r="AE17" s="61"/>
      <c r="AF17" s="61"/>
      <c r="AG17" s="69"/>
      <c r="AH17" s="61"/>
      <c r="AI17" s="69"/>
      <c r="AJ17" s="61"/>
    </row>
    <row r="18" spans="1:36" ht="66" customHeight="1" x14ac:dyDescent="0.2">
      <c r="A18" s="64" t="str">
        <f>HYPERLINK("\\temaznet\taymaceng\Controlled_Documents\APPROVED DOCUMENTS\FORMS-APPROVED\QC\QUALITY TRACKER\" &amp; YEAR('QUALITY LOG'!B18) &amp; " 8D's\" &amp; "8D-RTB20-15","8D-RTB20-15")</f>
        <v>8D-RTB20-15</v>
      </c>
      <c r="B18" s="62" t="s">
        <v>247</v>
      </c>
      <c r="C18" s="69">
        <v>43984</v>
      </c>
      <c r="D18" s="61" t="s">
        <v>71</v>
      </c>
      <c r="E18" s="69">
        <v>44235</v>
      </c>
      <c r="F18" s="61" t="s">
        <v>70</v>
      </c>
      <c r="G18" s="61" t="s">
        <v>248</v>
      </c>
      <c r="H18" s="69">
        <v>43949</v>
      </c>
      <c r="I18" s="61" t="s">
        <v>71</v>
      </c>
      <c r="J18" s="61"/>
      <c r="K18" s="61"/>
      <c r="L18" s="63"/>
      <c r="M18" s="69">
        <v>44235</v>
      </c>
      <c r="N18" s="61" t="s">
        <v>70</v>
      </c>
      <c r="O18" s="61"/>
      <c r="P18" s="61"/>
      <c r="Q18" s="61" t="s">
        <v>249</v>
      </c>
      <c r="R18" s="69">
        <v>44070</v>
      </c>
      <c r="S18" s="61" t="s">
        <v>71</v>
      </c>
      <c r="T18" s="61" t="s">
        <v>250</v>
      </c>
      <c r="U18" s="69">
        <v>44070</v>
      </c>
      <c r="V18" s="61" t="s">
        <v>71</v>
      </c>
      <c r="W18" s="61"/>
      <c r="X18" s="61"/>
      <c r="Y18" s="61"/>
      <c r="Z18" s="69">
        <v>44235</v>
      </c>
      <c r="AA18" s="61" t="s">
        <v>70</v>
      </c>
      <c r="AB18" s="69">
        <v>44235</v>
      </c>
      <c r="AC18" s="61" t="s">
        <v>70</v>
      </c>
      <c r="AD18" s="61"/>
      <c r="AE18" s="61"/>
      <c r="AF18" s="61" t="s">
        <v>251</v>
      </c>
      <c r="AG18" s="69">
        <v>44070</v>
      </c>
      <c r="AH18" s="61" t="s">
        <v>71</v>
      </c>
      <c r="AI18" s="69">
        <v>44235</v>
      </c>
      <c r="AJ18" s="61" t="s">
        <v>70</v>
      </c>
    </row>
    <row r="19" spans="1:36" ht="66" customHeight="1" x14ac:dyDescent="0.2">
      <c r="A19" s="64" t="str">
        <f>HYPERLINK("\\temaznet\taymaceng\Controlled_Documents\APPROVED DOCUMENTS\FORMS-APPROVED\QC\QUALITY TRACKER\" &amp; YEAR('QUALITY LOG'!B19) &amp; " 8D's\" &amp; "8D-RTB20-16","8D-RTB20-16")</f>
        <v>8D-RTB20-16</v>
      </c>
      <c r="B19" s="62" t="s">
        <v>167</v>
      </c>
      <c r="C19" s="69">
        <v>44153</v>
      </c>
      <c r="D19" s="61" t="s">
        <v>70</v>
      </c>
      <c r="E19" s="69">
        <v>44153</v>
      </c>
      <c r="F19" s="61" t="s">
        <v>70</v>
      </c>
      <c r="G19" s="61" t="s">
        <v>169</v>
      </c>
      <c r="H19" s="69">
        <v>44153</v>
      </c>
      <c r="I19" s="61" t="s">
        <v>70</v>
      </c>
      <c r="J19" s="61" t="s">
        <v>170</v>
      </c>
      <c r="K19" s="69">
        <v>44153</v>
      </c>
      <c r="L19" s="63" t="s">
        <v>70</v>
      </c>
      <c r="M19" s="69">
        <v>44153</v>
      </c>
      <c r="N19" s="61" t="s">
        <v>70</v>
      </c>
      <c r="O19" s="69">
        <v>44153</v>
      </c>
      <c r="P19" s="61" t="s">
        <v>70</v>
      </c>
      <c r="Q19" s="61" t="s">
        <v>171</v>
      </c>
      <c r="R19" s="69">
        <v>44153</v>
      </c>
      <c r="S19" s="61" t="s">
        <v>70</v>
      </c>
      <c r="T19" s="61" t="s">
        <v>172</v>
      </c>
      <c r="U19" s="69">
        <v>44153</v>
      </c>
      <c r="V19" s="61" t="s">
        <v>70</v>
      </c>
      <c r="W19" s="61"/>
      <c r="X19" s="61"/>
      <c r="Y19" s="61"/>
      <c r="Z19" s="69">
        <v>44153</v>
      </c>
      <c r="AA19" s="61" t="s">
        <v>70</v>
      </c>
      <c r="AB19" s="69">
        <v>44153</v>
      </c>
      <c r="AC19" s="61" t="s">
        <v>70</v>
      </c>
      <c r="AD19" s="61"/>
      <c r="AE19" s="61"/>
      <c r="AF19" s="61" t="s">
        <v>180</v>
      </c>
      <c r="AG19" s="69">
        <v>44153</v>
      </c>
      <c r="AH19" s="61" t="s">
        <v>70</v>
      </c>
      <c r="AI19" s="69">
        <v>44153</v>
      </c>
      <c r="AJ19" s="61" t="s">
        <v>70</v>
      </c>
    </row>
    <row r="20" spans="1:36" ht="66" customHeight="1" x14ac:dyDescent="0.2">
      <c r="A20" s="64" t="str">
        <f>HYPERLINK("\\temaznet\taymaceng\Controlled_Documents\APPROVED DOCUMENTS\FORMS-APPROVED\QC\QUALITY TRACKER\" &amp; YEAR('QUALITY LOG'!B20) &amp; " 8D's\" &amp; "8D-RTB20-17","8D-RTB20-17")</f>
        <v>8D-RTB20-17</v>
      </c>
      <c r="B20" s="62" t="s">
        <v>266</v>
      </c>
      <c r="C20" s="69">
        <v>44169</v>
      </c>
      <c r="D20" s="61" t="s">
        <v>70</v>
      </c>
      <c r="E20" s="69">
        <v>44169</v>
      </c>
      <c r="F20" s="61" t="s">
        <v>70</v>
      </c>
      <c r="G20" s="61" t="s">
        <v>267</v>
      </c>
      <c r="H20" s="69">
        <v>44169</v>
      </c>
      <c r="I20" s="61" t="s">
        <v>70</v>
      </c>
      <c r="J20" s="61"/>
      <c r="K20" s="61"/>
      <c r="L20" s="63"/>
      <c r="M20" s="69">
        <v>44169</v>
      </c>
      <c r="N20" s="61" t="s">
        <v>70</v>
      </c>
      <c r="O20" s="61"/>
      <c r="P20" s="61"/>
      <c r="Q20" s="61" t="s">
        <v>127</v>
      </c>
      <c r="R20" s="69">
        <v>44169</v>
      </c>
      <c r="S20" s="61" t="s">
        <v>70</v>
      </c>
      <c r="T20" s="61"/>
      <c r="U20" s="61"/>
      <c r="V20" s="61"/>
      <c r="W20" s="61"/>
      <c r="X20" s="61"/>
      <c r="Y20" s="61"/>
      <c r="Z20" s="69">
        <v>44169</v>
      </c>
      <c r="AA20" s="61" t="s">
        <v>70</v>
      </c>
      <c r="AB20" s="61"/>
      <c r="AC20" s="61"/>
      <c r="AD20" s="61"/>
      <c r="AE20" s="61"/>
      <c r="AF20" s="61" t="s">
        <v>261</v>
      </c>
      <c r="AG20" s="69">
        <v>44169</v>
      </c>
      <c r="AH20" s="61" t="s">
        <v>70</v>
      </c>
      <c r="AI20" s="69">
        <v>44169</v>
      </c>
      <c r="AJ20" s="61" t="s">
        <v>70</v>
      </c>
    </row>
    <row r="21" spans="1:36" ht="66" customHeight="1" x14ac:dyDescent="0.2">
      <c r="A21" s="64" t="str">
        <f>HYPERLINK("\\temaznet\taymaceng\Controlled_Documents\APPROVED DOCUMENTS\FORMS-APPROVED\QC\QUALITY TRACKER\" &amp; YEAR('QUALITY LOG'!B21) &amp; " 8D's\" &amp; "8D-RTB20-18","8D-RTB20-18")</f>
        <v>8D-RTB20-18</v>
      </c>
      <c r="B21" s="62" t="s">
        <v>211</v>
      </c>
      <c r="C21" s="69">
        <v>44208</v>
      </c>
      <c r="D21" s="61" t="s">
        <v>70</v>
      </c>
      <c r="E21" s="69">
        <v>44208</v>
      </c>
      <c r="F21" s="61" t="s">
        <v>70</v>
      </c>
      <c r="G21" s="61" t="s">
        <v>216</v>
      </c>
      <c r="H21" s="69">
        <v>44208</v>
      </c>
      <c r="I21" s="61" t="s">
        <v>70</v>
      </c>
      <c r="J21" s="61" t="s">
        <v>212</v>
      </c>
      <c r="K21" s="69">
        <v>44208</v>
      </c>
      <c r="L21" s="63" t="s">
        <v>70</v>
      </c>
      <c r="M21" s="69">
        <v>44208</v>
      </c>
      <c r="N21" s="61" t="s">
        <v>70</v>
      </c>
      <c r="O21" s="69">
        <v>44208</v>
      </c>
      <c r="P21" s="61" t="s">
        <v>70</v>
      </c>
      <c r="Q21" s="61" t="s">
        <v>213</v>
      </c>
      <c r="R21" s="69">
        <v>44208</v>
      </c>
      <c r="S21" s="61" t="s">
        <v>70</v>
      </c>
      <c r="T21" s="61" t="s">
        <v>217</v>
      </c>
      <c r="U21" s="69">
        <v>44208</v>
      </c>
      <c r="V21" s="61" t="s">
        <v>70</v>
      </c>
      <c r="W21" s="61"/>
      <c r="X21" s="61"/>
      <c r="Y21" s="61"/>
      <c r="Z21" s="69">
        <v>44208</v>
      </c>
      <c r="AA21" s="61" t="s">
        <v>70</v>
      </c>
      <c r="AB21" s="69">
        <v>44208</v>
      </c>
      <c r="AC21" s="61" t="s">
        <v>70</v>
      </c>
      <c r="AD21" s="61"/>
      <c r="AE21" s="61"/>
      <c r="AF21" s="61" t="s">
        <v>214</v>
      </c>
      <c r="AG21" s="69">
        <v>44208</v>
      </c>
      <c r="AH21" s="61" t="s">
        <v>70</v>
      </c>
      <c r="AI21" s="69">
        <v>44208</v>
      </c>
      <c r="AJ21" s="61" t="s">
        <v>70</v>
      </c>
    </row>
    <row r="22" spans="1:36" ht="66" customHeight="1" x14ac:dyDescent="0.2">
      <c r="A22" s="64" t="str">
        <f>HYPERLINK("\\temaznet\taymaceng\Controlled_Documents\APPROVED DOCUMENTS\FORMS-APPROVED\QC\QUALITY TRACKER\" &amp; YEAR('QUALITY LOG'!B22) &amp; " 8D's\" &amp; "8D-RTB20-19","8D-RTB20-19")</f>
        <v>8D-RTB20-19</v>
      </c>
      <c r="B22" s="62" t="s">
        <v>135</v>
      </c>
      <c r="C22" s="69">
        <v>44400</v>
      </c>
      <c r="D22" s="61" t="s">
        <v>70</v>
      </c>
      <c r="E22" s="69">
        <v>44400</v>
      </c>
      <c r="F22" s="61" t="s">
        <v>70</v>
      </c>
      <c r="G22" s="61" t="s">
        <v>358</v>
      </c>
      <c r="H22" s="69">
        <v>44400</v>
      </c>
      <c r="I22" s="61" t="s">
        <v>70</v>
      </c>
      <c r="J22" s="61" t="s">
        <v>359</v>
      </c>
      <c r="K22" s="69">
        <v>44400</v>
      </c>
      <c r="L22" s="63" t="s">
        <v>70</v>
      </c>
      <c r="M22" s="69">
        <v>44400</v>
      </c>
      <c r="N22" s="61" t="s">
        <v>70</v>
      </c>
      <c r="O22" s="69">
        <v>44400</v>
      </c>
      <c r="P22" s="61" t="s">
        <v>70</v>
      </c>
      <c r="Q22" s="61" t="s">
        <v>360</v>
      </c>
      <c r="R22" s="69">
        <v>44249</v>
      </c>
      <c r="S22" s="61" t="s">
        <v>70</v>
      </c>
      <c r="T22" s="61" t="s">
        <v>361</v>
      </c>
      <c r="U22" s="69">
        <v>44392</v>
      </c>
      <c r="V22" s="61" t="s">
        <v>70</v>
      </c>
      <c r="W22" s="61" t="s">
        <v>362</v>
      </c>
      <c r="X22" s="69">
        <v>44400</v>
      </c>
      <c r="Y22" s="61" t="s">
        <v>70</v>
      </c>
      <c r="Z22" s="69">
        <v>44400</v>
      </c>
      <c r="AA22" s="61" t="s">
        <v>70</v>
      </c>
      <c r="AB22" s="69">
        <v>44400</v>
      </c>
      <c r="AC22" s="61" t="s">
        <v>70</v>
      </c>
      <c r="AD22" s="69">
        <v>44400</v>
      </c>
      <c r="AE22" s="61" t="s">
        <v>70</v>
      </c>
      <c r="AF22" s="61" t="s">
        <v>138</v>
      </c>
      <c r="AG22" s="69">
        <v>44400</v>
      </c>
      <c r="AH22" s="61" t="s">
        <v>70</v>
      </c>
      <c r="AI22" s="69">
        <v>44400</v>
      </c>
      <c r="AJ22" s="61" t="s">
        <v>70</v>
      </c>
    </row>
    <row r="23" spans="1:36" ht="66" customHeight="1" x14ac:dyDescent="0.2">
      <c r="A23" s="64" t="str">
        <f>HYPERLINK("\\temaznet\taymaceng\Controlled_Documents\APPROVED DOCUMENTS\FORMS-APPROVED\QC\QUALITY TRACKER\" &amp; YEAR('QUALITY LOG'!B23) &amp; " 8D's\" &amp; "8D-RTB20-20","8D-RTB20-20")</f>
        <v>8D-RTB20-20</v>
      </c>
      <c r="B23" s="62" t="s">
        <v>230</v>
      </c>
      <c r="C23" s="69">
        <v>44217</v>
      </c>
      <c r="D23" s="61" t="s">
        <v>70</v>
      </c>
      <c r="E23" s="69">
        <v>44217</v>
      </c>
      <c r="F23" s="61" t="s">
        <v>70</v>
      </c>
      <c r="G23" s="61" t="s">
        <v>232</v>
      </c>
      <c r="H23" s="69">
        <v>44217</v>
      </c>
      <c r="I23" s="61" t="s">
        <v>70</v>
      </c>
      <c r="J23" s="61"/>
      <c r="K23" s="61"/>
      <c r="L23" s="63"/>
      <c r="M23" s="69">
        <v>44217</v>
      </c>
      <c r="N23" s="61" t="s">
        <v>70</v>
      </c>
      <c r="O23" s="61"/>
      <c r="P23" s="61"/>
      <c r="Q23" s="61" t="s">
        <v>233</v>
      </c>
      <c r="R23" s="69">
        <v>44217</v>
      </c>
      <c r="S23" s="61" t="s">
        <v>70</v>
      </c>
      <c r="T23" s="61"/>
      <c r="U23" s="61"/>
      <c r="V23" s="61"/>
      <c r="W23" s="61"/>
      <c r="X23" s="61"/>
      <c r="Y23" s="61"/>
      <c r="Z23" s="69">
        <v>44217</v>
      </c>
      <c r="AA23" s="61" t="s">
        <v>70</v>
      </c>
      <c r="AB23" s="61"/>
      <c r="AC23" s="61"/>
      <c r="AD23" s="61"/>
      <c r="AE23" s="61"/>
      <c r="AF23" s="61" t="s">
        <v>234</v>
      </c>
      <c r="AG23" s="69">
        <v>44217</v>
      </c>
      <c r="AH23" s="61" t="s">
        <v>70</v>
      </c>
      <c r="AI23" s="69">
        <v>44217</v>
      </c>
      <c r="AJ23" s="61" t="s">
        <v>70</v>
      </c>
    </row>
    <row r="24" spans="1:36" ht="66" customHeight="1" x14ac:dyDescent="0.2">
      <c r="A24" s="64" t="str">
        <f>HYPERLINK("\\temaznet\taymaceng\Controlled_Documents\APPROVED DOCUMENTS\FORMS-APPROVED\QC\QUALITY TRACKER\" &amp; YEAR('QUALITY LOG'!B24) &amp; " 8D's\" &amp; "8D-RTB21-1","8D-RTB21-1")</f>
        <v>8D-RTB21-1</v>
      </c>
      <c r="B24" s="62" t="s">
        <v>367</v>
      </c>
      <c r="C24" s="69">
        <v>44202</v>
      </c>
      <c r="D24" s="61" t="s">
        <v>70</v>
      </c>
      <c r="E24" s="69">
        <v>44202</v>
      </c>
      <c r="F24" s="61" t="s">
        <v>70</v>
      </c>
      <c r="G24" s="61" t="s">
        <v>365</v>
      </c>
      <c r="H24" s="69">
        <v>44202</v>
      </c>
      <c r="I24" s="61" t="s">
        <v>70</v>
      </c>
      <c r="J24" s="61"/>
      <c r="K24" s="61"/>
      <c r="L24" s="63"/>
      <c r="M24" s="69">
        <v>44202</v>
      </c>
      <c r="N24" s="61" t="s">
        <v>70</v>
      </c>
      <c r="O24" s="61"/>
      <c r="P24" s="61"/>
      <c r="Q24" s="61" t="s">
        <v>369</v>
      </c>
      <c r="R24" s="69">
        <v>44202</v>
      </c>
      <c r="S24" s="61" t="s">
        <v>70</v>
      </c>
      <c r="T24" s="61"/>
      <c r="U24" s="61"/>
      <c r="V24" s="61"/>
      <c r="W24" s="61"/>
      <c r="X24" s="61"/>
      <c r="Y24" s="61"/>
      <c r="Z24" s="69">
        <v>44202</v>
      </c>
      <c r="AA24" s="61" t="s">
        <v>70</v>
      </c>
      <c r="AB24" s="61"/>
      <c r="AC24" s="61"/>
      <c r="AD24" s="61"/>
      <c r="AE24" s="61"/>
      <c r="AF24" s="61" t="s">
        <v>138</v>
      </c>
      <c r="AG24" s="69">
        <v>44202</v>
      </c>
      <c r="AH24" s="61" t="s">
        <v>70</v>
      </c>
      <c r="AI24" s="69">
        <v>44202</v>
      </c>
      <c r="AJ24" s="61" t="s">
        <v>70</v>
      </c>
    </row>
    <row r="25" spans="1:36" ht="66" customHeight="1" x14ac:dyDescent="0.2">
      <c r="A25" s="64" t="str">
        <f>HYPERLINK("\\temaznet\taymaceng\Controlled_Documents\APPROVED DOCUMENTS\FORMS-APPROVED\QC\QUALITY TRACKER\" &amp; YEAR('QUALITY LOG'!B25) &amp; " 8D's\" &amp; "8D-RTB21-2","8D-RTB21-2")</f>
        <v>8D-RTB21-2</v>
      </c>
      <c r="B25" s="62" t="s">
        <v>282</v>
      </c>
      <c r="C25" s="69">
        <v>44218</v>
      </c>
      <c r="D25" s="61" t="s">
        <v>70</v>
      </c>
      <c r="E25" s="69">
        <v>44218</v>
      </c>
      <c r="F25" s="61" t="s">
        <v>70</v>
      </c>
      <c r="G25" s="61" t="s">
        <v>278</v>
      </c>
      <c r="H25" s="69">
        <v>44215</v>
      </c>
      <c r="I25" s="61" t="s">
        <v>70</v>
      </c>
      <c r="J25" s="61" t="s">
        <v>279</v>
      </c>
      <c r="K25" s="69">
        <v>44215</v>
      </c>
      <c r="L25" s="63" t="s">
        <v>70</v>
      </c>
      <c r="M25" s="69">
        <v>44215</v>
      </c>
      <c r="N25" s="61" t="s">
        <v>70</v>
      </c>
      <c r="O25" s="69">
        <v>44215</v>
      </c>
      <c r="P25" s="61" t="s">
        <v>70</v>
      </c>
      <c r="Q25" s="61" t="s">
        <v>281</v>
      </c>
      <c r="R25" s="69">
        <v>44223</v>
      </c>
      <c r="S25" s="61" t="s">
        <v>70</v>
      </c>
      <c r="T25" s="61"/>
      <c r="U25" s="61"/>
      <c r="V25" s="61"/>
      <c r="W25" s="61"/>
      <c r="X25" s="61"/>
      <c r="Y25" s="61"/>
      <c r="Z25" s="69">
        <v>44223</v>
      </c>
      <c r="AA25" s="61" t="s">
        <v>70</v>
      </c>
      <c r="AB25" s="61"/>
      <c r="AC25" s="61"/>
      <c r="AD25" s="61"/>
      <c r="AE25" s="61"/>
      <c r="AF25" s="61" t="s">
        <v>261</v>
      </c>
      <c r="AG25" s="69">
        <v>44225</v>
      </c>
      <c r="AH25" s="61" t="s">
        <v>70</v>
      </c>
      <c r="AI25" s="69">
        <v>44225</v>
      </c>
      <c r="AJ25" s="61" t="s">
        <v>70</v>
      </c>
    </row>
    <row r="26" spans="1:36" ht="66" customHeight="1" x14ac:dyDescent="0.2">
      <c r="A26" s="64" t="str">
        <f>HYPERLINK("\\temaznet\taymaceng\Controlled_Documents\APPROVED DOCUMENTS\FORMS-APPROVED\QC\QUALITY TRACKER\" &amp; YEAR('QUALITY LOG'!B26) &amp; " 8D's\" &amp; "8D-RTB21-3","8D-RTB21-3")</f>
        <v>8D-RTB21-3</v>
      </c>
      <c r="B26" s="62" t="s">
        <v>272</v>
      </c>
      <c r="C26" s="69">
        <v>44215</v>
      </c>
      <c r="D26" s="61" t="s">
        <v>70</v>
      </c>
      <c r="E26" s="69">
        <v>44215</v>
      </c>
      <c r="F26" s="61" t="s">
        <v>70</v>
      </c>
      <c r="G26" s="61" t="s">
        <v>274</v>
      </c>
      <c r="H26" s="69">
        <v>44215</v>
      </c>
      <c r="I26" s="61" t="s">
        <v>70</v>
      </c>
      <c r="J26" s="61" t="s">
        <v>275</v>
      </c>
      <c r="K26" s="69">
        <v>44215</v>
      </c>
      <c r="L26" s="63" t="s">
        <v>70</v>
      </c>
      <c r="M26" s="69">
        <v>44215</v>
      </c>
      <c r="N26" s="61" t="s">
        <v>70</v>
      </c>
      <c r="O26" s="69">
        <v>44215</v>
      </c>
      <c r="P26" s="61" t="s">
        <v>70</v>
      </c>
      <c r="Q26" s="61" t="s">
        <v>273</v>
      </c>
      <c r="R26" s="69">
        <v>44215</v>
      </c>
      <c r="S26" s="61" t="s">
        <v>70</v>
      </c>
      <c r="T26" s="61"/>
      <c r="U26" s="61"/>
      <c r="V26" s="61"/>
      <c r="W26" s="61"/>
      <c r="X26" s="61"/>
      <c r="Y26" s="61"/>
      <c r="Z26" s="69">
        <v>44215</v>
      </c>
      <c r="AA26" s="61" t="s">
        <v>70</v>
      </c>
      <c r="AB26" s="61"/>
      <c r="AC26" s="61"/>
      <c r="AD26" s="61"/>
      <c r="AE26" s="61"/>
      <c r="AF26" s="61" t="s">
        <v>261</v>
      </c>
      <c r="AG26" s="69">
        <v>44215</v>
      </c>
      <c r="AH26" s="61" t="s">
        <v>70</v>
      </c>
      <c r="AI26" s="69">
        <v>44215</v>
      </c>
      <c r="AJ26" s="61" t="s">
        <v>70</v>
      </c>
    </row>
    <row r="27" spans="1:36" ht="66" customHeight="1" x14ac:dyDescent="0.2">
      <c r="A27" s="64" t="str">
        <f>HYPERLINK("\\temaznet\taymaceng\Controlled_Documents\APPROVED DOCUMENTS\FORMS-APPROVED\QC\QUALITY TRACKER\" &amp; YEAR('QUALITY LOG'!B27) &amp; " 8D's\" &amp; "8D-RTB21-4","8D-RTB21-4")</f>
        <v>8D-RTB21-4</v>
      </c>
      <c r="B27" s="62" t="s">
        <v>317</v>
      </c>
      <c r="C27" s="69">
        <v>44287</v>
      </c>
      <c r="D27" s="61" t="s">
        <v>70</v>
      </c>
      <c r="E27" s="69">
        <v>44287</v>
      </c>
      <c r="F27" s="61" t="s">
        <v>70</v>
      </c>
      <c r="G27" s="61" t="s">
        <v>318</v>
      </c>
      <c r="H27" s="69">
        <v>44287</v>
      </c>
      <c r="I27" s="61" t="s">
        <v>70</v>
      </c>
      <c r="J27" s="61" t="s">
        <v>319</v>
      </c>
      <c r="K27" s="69">
        <v>44287</v>
      </c>
      <c r="L27" s="63" t="s">
        <v>70</v>
      </c>
      <c r="M27" s="69">
        <v>44287</v>
      </c>
      <c r="N27" s="61" t="s">
        <v>70</v>
      </c>
      <c r="O27" s="69">
        <v>44287</v>
      </c>
      <c r="P27" s="61" t="s">
        <v>70</v>
      </c>
      <c r="Q27" s="61" t="s">
        <v>127</v>
      </c>
      <c r="R27" s="69">
        <v>44287</v>
      </c>
      <c r="S27" s="61" t="s">
        <v>70</v>
      </c>
      <c r="T27" s="61"/>
      <c r="U27" s="61"/>
      <c r="V27" s="61"/>
      <c r="W27" s="61"/>
      <c r="X27" s="61"/>
      <c r="Y27" s="61"/>
      <c r="Z27" s="69">
        <v>44287</v>
      </c>
      <c r="AA27" s="61" t="s">
        <v>70</v>
      </c>
      <c r="AB27" s="61"/>
      <c r="AC27" s="61"/>
      <c r="AD27" s="61"/>
      <c r="AE27" s="61"/>
      <c r="AF27" s="61" t="s">
        <v>261</v>
      </c>
      <c r="AG27" s="69">
        <v>44287</v>
      </c>
      <c r="AH27" s="61" t="s">
        <v>70</v>
      </c>
      <c r="AI27" s="69">
        <v>44287</v>
      </c>
      <c r="AJ27" s="61" t="s">
        <v>70</v>
      </c>
    </row>
    <row r="28" spans="1:36" ht="66" customHeight="1" x14ac:dyDescent="0.2">
      <c r="A28" s="64" t="str">
        <f>HYPERLINK("\\temaznet\taymaceng\Controlled_Documents\APPROVED DOCUMENTS\FORMS-APPROVED\QC\QUALITY TRACKER\" &amp; YEAR('QUALITY LOG'!B28) &amp; " 8D's\" &amp; "8D-RTB21-5","8D-RTB21-5")</f>
        <v>8D-RTB21-5</v>
      </c>
      <c r="B28" s="62"/>
      <c r="C28" s="61"/>
      <c r="D28" s="61"/>
      <c r="E28" s="61"/>
      <c r="F28" s="61"/>
      <c r="G28" s="61"/>
      <c r="H28" s="61"/>
      <c r="I28" s="61"/>
      <c r="J28" s="61"/>
      <c r="K28" s="61"/>
      <c r="L28" s="63"/>
      <c r="M28" s="61"/>
      <c r="N28" s="61"/>
      <c r="O28" s="61"/>
      <c r="P28" s="61"/>
      <c r="Q28" s="61"/>
      <c r="R28" s="61"/>
      <c r="S28" s="61"/>
      <c r="T28" s="61"/>
      <c r="U28" s="61"/>
      <c r="V28" s="61"/>
      <c r="W28" s="61"/>
      <c r="X28" s="61"/>
      <c r="Y28" s="61"/>
      <c r="Z28" s="61"/>
      <c r="AA28" s="61"/>
      <c r="AB28" s="61"/>
      <c r="AC28" s="61"/>
      <c r="AD28" s="61"/>
      <c r="AE28" s="61"/>
      <c r="AF28" s="61"/>
      <c r="AG28" s="61"/>
      <c r="AH28" s="61"/>
      <c r="AI28" s="61"/>
      <c r="AJ28" s="61"/>
    </row>
    <row r="29" spans="1:36" ht="66" customHeight="1" x14ac:dyDescent="0.2">
      <c r="A29" s="64" t="str">
        <f>HYPERLINK("\\temaznet\taymaceng\Controlled_Documents\APPROVED DOCUMENTS\FORMS-APPROVED\QC\QUALITY TRACKER\" &amp; YEAR('QUALITY LOG'!B29) &amp; " 8D's\" &amp; "8D-RTB21-6","8D-RTB21-6")</f>
        <v>8D-RTB21-6</v>
      </c>
      <c r="B29" s="62" t="s">
        <v>347</v>
      </c>
      <c r="C29" s="69">
        <v>44299</v>
      </c>
      <c r="D29" s="61" t="s">
        <v>70</v>
      </c>
      <c r="E29" s="69">
        <v>44299</v>
      </c>
      <c r="F29" s="61" t="s">
        <v>70</v>
      </c>
      <c r="G29" s="61" t="s">
        <v>342</v>
      </c>
      <c r="H29" s="69">
        <v>44302</v>
      </c>
      <c r="I29" s="61" t="s">
        <v>70</v>
      </c>
      <c r="J29" s="61" t="s">
        <v>343</v>
      </c>
      <c r="K29" s="69">
        <v>44302</v>
      </c>
      <c r="L29" s="63" t="s">
        <v>70</v>
      </c>
      <c r="M29" s="69">
        <v>44302</v>
      </c>
      <c r="N29" s="61" t="s">
        <v>70</v>
      </c>
      <c r="O29" s="69">
        <v>44302</v>
      </c>
      <c r="P29" s="61" t="s">
        <v>70</v>
      </c>
      <c r="Q29" s="61" t="s">
        <v>344</v>
      </c>
      <c r="R29" s="69">
        <v>44302</v>
      </c>
      <c r="S29" s="61" t="s">
        <v>70</v>
      </c>
      <c r="T29" s="61" t="s">
        <v>345</v>
      </c>
      <c r="U29" s="69">
        <v>44302</v>
      </c>
      <c r="V29" s="61" t="s">
        <v>70</v>
      </c>
      <c r="W29" s="61"/>
      <c r="X29" s="61"/>
      <c r="Y29" s="61"/>
      <c r="Z29" s="69">
        <v>44302</v>
      </c>
      <c r="AA29" s="61" t="s">
        <v>70</v>
      </c>
      <c r="AB29" s="69">
        <v>44302</v>
      </c>
      <c r="AC29" s="61" t="s">
        <v>70</v>
      </c>
      <c r="AD29" s="61"/>
      <c r="AE29" s="61"/>
      <c r="AF29" s="61" t="s">
        <v>346</v>
      </c>
      <c r="AG29" s="69">
        <v>44306</v>
      </c>
      <c r="AH29" s="61" t="s">
        <v>70</v>
      </c>
      <c r="AI29" s="69">
        <v>44306</v>
      </c>
      <c r="AJ29" s="61" t="s">
        <v>70</v>
      </c>
    </row>
    <row r="30" spans="1:36" ht="66" customHeight="1" x14ac:dyDescent="0.2">
      <c r="A30" s="64" t="str">
        <f>HYPERLINK("\\temaznet\taymaceng\Controlled_Documents\APPROVED DOCUMENTS\FORMS-APPROVED\QC\QUALITY TRACKER\" &amp; YEAR('QUALITY LOG'!B30) &amp; " 8D's\" &amp; "8D-RTB21-7","8D-RTB21-7")</f>
        <v>8D-RTB21-7</v>
      </c>
      <c r="B30" s="62" t="s">
        <v>328</v>
      </c>
      <c r="C30" s="69">
        <v>44341</v>
      </c>
      <c r="D30" s="61" t="s">
        <v>70</v>
      </c>
      <c r="E30" s="69">
        <v>44341</v>
      </c>
      <c r="F30" s="61" t="s">
        <v>70</v>
      </c>
      <c r="G30" s="61" t="s">
        <v>330</v>
      </c>
      <c r="H30" s="69">
        <v>44356</v>
      </c>
      <c r="I30" s="61" t="s">
        <v>70</v>
      </c>
      <c r="J30" s="61" t="s">
        <v>329</v>
      </c>
      <c r="K30" s="69">
        <v>44356</v>
      </c>
      <c r="L30" s="63" t="s">
        <v>70</v>
      </c>
      <c r="M30" s="69">
        <v>44356</v>
      </c>
      <c r="N30" s="61" t="s">
        <v>70</v>
      </c>
      <c r="O30" s="69">
        <v>44356</v>
      </c>
      <c r="P30" s="61" t="s">
        <v>70</v>
      </c>
      <c r="Q30" s="61" t="s">
        <v>331</v>
      </c>
      <c r="R30" s="69">
        <v>44356</v>
      </c>
      <c r="S30" s="61" t="s">
        <v>70</v>
      </c>
      <c r="T30" s="61" t="s">
        <v>332</v>
      </c>
      <c r="U30" s="69">
        <v>44356</v>
      </c>
      <c r="V30" s="61" t="s">
        <v>70</v>
      </c>
      <c r="W30" s="61"/>
      <c r="X30" s="61"/>
      <c r="Y30" s="61"/>
      <c r="Z30" s="69">
        <v>44356</v>
      </c>
      <c r="AA30" s="61" t="s">
        <v>70</v>
      </c>
      <c r="AB30" s="69">
        <v>44356</v>
      </c>
      <c r="AC30" s="61" t="s">
        <v>70</v>
      </c>
      <c r="AD30" s="61"/>
      <c r="AE30" s="61"/>
      <c r="AF30" s="61" t="s">
        <v>334</v>
      </c>
      <c r="AG30" s="69">
        <v>44302</v>
      </c>
      <c r="AH30" s="61" t="s">
        <v>70</v>
      </c>
      <c r="AI30" s="69">
        <v>44302</v>
      </c>
      <c r="AJ30" s="61" t="s">
        <v>70</v>
      </c>
    </row>
    <row r="31" spans="1:36" ht="66" customHeight="1" x14ac:dyDescent="0.2">
      <c r="A31" s="64" t="str">
        <f>HYPERLINK("\\temaznet\taymaceng\Controlled_Documents\APPROVED DOCUMENTS\FORMS-APPROVED\QC\QUALITY TRACKER\" &amp; YEAR('QUALITY LOG'!B31) &amp; " 8D's\" &amp; "8D-RTB21-8","8D-RTB21-8")</f>
        <v>8D-RTB21-8</v>
      </c>
      <c r="B31" s="62" t="s">
        <v>285</v>
      </c>
      <c r="C31" s="69">
        <v>44287</v>
      </c>
      <c r="D31" s="61" t="s">
        <v>70</v>
      </c>
      <c r="E31" s="69">
        <v>44287</v>
      </c>
      <c r="F31" s="61" t="s">
        <v>70</v>
      </c>
      <c r="G31" s="61" t="s">
        <v>286</v>
      </c>
      <c r="H31" s="69">
        <v>44287</v>
      </c>
      <c r="I31" s="61" t="s">
        <v>70</v>
      </c>
      <c r="J31" s="61"/>
      <c r="K31" s="61"/>
      <c r="L31" s="63"/>
      <c r="M31" s="69">
        <v>44287</v>
      </c>
      <c r="N31" s="61" t="s">
        <v>70</v>
      </c>
      <c r="O31" s="61"/>
      <c r="P31" s="61"/>
      <c r="Q31" s="61" t="s">
        <v>127</v>
      </c>
      <c r="R31" s="69">
        <v>44287</v>
      </c>
      <c r="S31" s="61" t="s">
        <v>70</v>
      </c>
      <c r="T31" s="61"/>
      <c r="U31" s="61"/>
      <c r="V31" s="61"/>
      <c r="W31" s="61"/>
      <c r="X31" s="61"/>
      <c r="Y31" s="61"/>
      <c r="Z31" s="69">
        <v>44287</v>
      </c>
      <c r="AA31" s="61" t="s">
        <v>70</v>
      </c>
      <c r="AB31" s="61"/>
      <c r="AC31" s="61"/>
      <c r="AD31" s="61"/>
      <c r="AE31" s="61"/>
      <c r="AF31" s="61" t="s">
        <v>261</v>
      </c>
      <c r="AG31" s="69">
        <v>44287</v>
      </c>
      <c r="AH31" s="61" t="s">
        <v>70</v>
      </c>
      <c r="AI31" s="69">
        <v>44287</v>
      </c>
      <c r="AJ31" s="61" t="s">
        <v>70</v>
      </c>
    </row>
    <row r="32" spans="1:36" ht="66" customHeight="1" x14ac:dyDescent="0.2">
      <c r="A32" s="64" t="str">
        <f>HYPERLINK("\\temaznet\taymaceng\Controlled_Documents\APPROVED DOCUMENTS\FORMS-APPROVED\QC\QUALITY TRACKER\" &amp; YEAR('QUALITY LOG'!B32) &amp; " 8D's\" &amp; "8D-RTB21-9","8D-RTB21-9")</f>
        <v>8D-RTB21-9</v>
      </c>
      <c r="B32" s="62" t="s">
        <v>312</v>
      </c>
      <c r="C32" s="69">
        <v>44322</v>
      </c>
      <c r="D32" s="61" t="s">
        <v>70</v>
      </c>
      <c r="E32" s="69">
        <v>44322</v>
      </c>
      <c r="F32" s="61" t="s">
        <v>70</v>
      </c>
      <c r="G32" s="61" t="s">
        <v>311</v>
      </c>
      <c r="H32" s="69">
        <v>44322</v>
      </c>
      <c r="I32" s="61" t="s">
        <v>70</v>
      </c>
      <c r="J32" s="61"/>
      <c r="K32" s="61"/>
      <c r="L32" s="63"/>
      <c r="M32" s="69">
        <v>44322</v>
      </c>
      <c r="N32" s="61" t="s">
        <v>70</v>
      </c>
      <c r="O32" s="61"/>
      <c r="P32" s="61"/>
      <c r="Q32" s="61" t="s">
        <v>313</v>
      </c>
      <c r="R32" s="69">
        <v>44322</v>
      </c>
      <c r="S32" s="61" t="s">
        <v>70</v>
      </c>
      <c r="T32" s="61"/>
      <c r="U32" s="61"/>
      <c r="V32" s="61"/>
      <c r="W32" s="61"/>
      <c r="X32" s="61"/>
      <c r="Y32" s="61"/>
      <c r="Z32" s="69">
        <v>44322</v>
      </c>
      <c r="AA32" s="61" t="s">
        <v>70</v>
      </c>
      <c r="AB32" s="61"/>
      <c r="AC32" s="61"/>
      <c r="AD32" s="61"/>
      <c r="AE32" s="61"/>
      <c r="AF32" s="61" t="s">
        <v>261</v>
      </c>
      <c r="AG32" s="69">
        <v>44322</v>
      </c>
      <c r="AH32" s="61" t="s">
        <v>70</v>
      </c>
      <c r="AI32" s="69">
        <v>44322</v>
      </c>
      <c r="AJ32" s="61" t="s">
        <v>70</v>
      </c>
    </row>
    <row r="33" spans="1:36" ht="66" customHeight="1" x14ac:dyDescent="0.2">
      <c r="A33" s="64" t="str">
        <f>HYPERLINK("\\temaznet\taymaceng\Controlled_Documents\APPROVED DOCUMENTS\FORMS-APPROVED\QC\QUALITY TRACKER\" &amp; YEAR('QUALITY LOG'!B33) &amp; " 8D's\" &amp; "8D-RTB21-10","8D-RTB21-10")</f>
        <v>8D-RTB21-10</v>
      </c>
      <c r="B33" s="62" t="s">
        <v>322</v>
      </c>
      <c r="C33" s="69">
        <v>44287</v>
      </c>
      <c r="D33" s="61" t="s">
        <v>70</v>
      </c>
      <c r="E33" s="69">
        <v>44287</v>
      </c>
      <c r="F33" s="61" t="s">
        <v>70</v>
      </c>
      <c r="G33" s="61" t="s">
        <v>318</v>
      </c>
      <c r="H33" s="69">
        <v>44287</v>
      </c>
      <c r="I33" s="61" t="s">
        <v>70</v>
      </c>
      <c r="J33" s="61"/>
      <c r="K33" s="61"/>
      <c r="L33" s="63"/>
      <c r="M33" s="69">
        <v>44287</v>
      </c>
      <c r="N33" s="61" t="s">
        <v>70</v>
      </c>
      <c r="O33" s="61"/>
      <c r="P33" s="61"/>
      <c r="Q33" s="61" t="s">
        <v>127</v>
      </c>
      <c r="R33" s="69">
        <v>44287</v>
      </c>
      <c r="S33" s="61" t="s">
        <v>70</v>
      </c>
      <c r="T33" s="61"/>
      <c r="U33" s="61"/>
      <c r="V33" s="61"/>
      <c r="W33" s="61"/>
      <c r="X33" s="61"/>
      <c r="Y33" s="61"/>
      <c r="Z33" s="69">
        <v>44287</v>
      </c>
      <c r="AA33" s="61" t="s">
        <v>70</v>
      </c>
      <c r="AB33" s="61"/>
      <c r="AC33" s="61"/>
      <c r="AD33" s="61"/>
      <c r="AE33" s="61"/>
      <c r="AF33" s="61" t="s">
        <v>261</v>
      </c>
      <c r="AG33" s="69">
        <v>44287</v>
      </c>
      <c r="AH33" s="61" t="s">
        <v>70</v>
      </c>
      <c r="AI33" s="69">
        <v>44287</v>
      </c>
      <c r="AJ33" s="61" t="s">
        <v>70</v>
      </c>
    </row>
    <row r="34" spans="1:36" ht="66" customHeight="1" x14ac:dyDescent="0.2">
      <c r="A34" s="64" t="str">
        <f>HYPERLINK("\\temaznet\taymaceng\Controlled_Documents\APPROVED DOCUMENTS\FORMS-APPROVED\QC\QUALITY TRACKER\" &amp; YEAR('QUALITY LOG'!B34) &amp; " 8D's\" &amp; "8D-RTB21-11","8D-RTB21-11")</f>
        <v>8D-RTB21-11</v>
      </c>
      <c r="B34" s="62"/>
      <c r="C34" s="61"/>
      <c r="D34" s="61"/>
      <c r="E34" s="61"/>
      <c r="F34" s="61"/>
      <c r="G34" s="61"/>
      <c r="H34" s="61"/>
      <c r="I34" s="61"/>
      <c r="J34" s="61"/>
      <c r="K34" s="61"/>
      <c r="L34" s="63"/>
      <c r="M34" s="61"/>
      <c r="N34" s="61"/>
      <c r="O34" s="61"/>
      <c r="P34" s="61"/>
      <c r="Q34" s="61"/>
      <c r="R34" s="61"/>
      <c r="S34" s="61"/>
      <c r="T34" s="61"/>
      <c r="U34" s="61"/>
      <c r="V34" s="61"/>
      <c r="W34" s="61"/>
      <c r="X34" s="61"/>
      <c r="Y34" s="61"/>
      <c r="Z34" s="61"/>
      <c r="AA34" s="61"/>
      <c r="AB34" s="61"/>
      <c r="AC34" s="61"/>
      <c r="AD34" s="61"/>
      <c r="AE34" s="61"/>
      <c r="AF34" s="61"/>
      <c r="AG34" s="61"/>
      <c r="AH34" s="61"/>
      <c r="AI34" s="61"/>
      <c r="AJ34" s="61"/>
    </row>
    <row r="35" spans="1:36" ht="66" customHeight="1" x14ac:dyDescent="0.2">
      <c r="A35" s="64" t="str">
        <f>HYPERLINK("\\temaznet\taymaceng\Controlled_Documents\APPROVED DOCUMENTS\FORMS-APPROVED\QC\QUALITY TRACKER\" &amp; YEAR('QUALITY LOG'!B35) &amp; " 8D's\" &amp; "8D-RTB21-12","8D-RTB21-12")</f>
        <v>8D-RTB21-12</v>
      </c>
      <c r="B35" s="62"/>
      <c r="C35" s="61"/>
      <c r="D35" s="61"/>
      <c r="E35" s="61"/>
      <c r="F35" s="61"/>
      <c r="G35" s="61"/>
      <c r="H35" s="61"/>
      <c r="I35" s="61"/>
      <c r="J35" s="61"/>
      <c r="K35" s="61"/>
      <c r="L35" s="63"/>
      <c r="M35" s="61"/>
      <c r="N35" s="61"/>
      <c r="O35" s="61"/>
      <c r="P35" s="61"/>
      <c r="Q35" s="61"/>
      <c r="R35" s="61"/>
      <c r="S35" s="61"/>
      <c r="T35" s="61"/>
      <c r="U35" s="61"/>
      <c r="V35" s="61"/>
      <c r="W35" s="61"/>
      <c r="X35" s="61"/>
      <c r="Y35" s="61"/>
      <c r="Z35" s="61"/>
      <c r="AA35" s="61"/>
      <c r="AB35" s="61"/>
      <c r="AC35" s="61"/>
      <c r="AD35" s="61"/>
      <c r="AE35" s="61"/>
      <c r="AF35" s="61"/>
      <c r="AG35" s="61"/>
      <c r="AH35" s="61"/>
      <c r="AI35" s="61"/>
      <c r="AJ35" s="61"/>
    </row>
    <row r="36" spans="1:36" ht="66" customHeight="1" x14ac:dyDescent="0.2">
      <c r="A36" s="64" t="str">
        <f>HYPERLINK("\\temaznet\taymaceng\Controlled_Documents\APPROVED DOCUMENTS\FORMS-APPROVED\QC\QUALITY TRACKER\" &amp; YEAR('QUALITY LOG'!B36) &amp; " 8D's\" &amp; "8D-RTB21-13","8D-RTB21-13")</f>
        <v>8D-RTB21-13</v>
      </c>
      <c r="B36" s="62" t="s">
        <v>304</v>
      </c>
      <c r="C36" s="69">
        <v>44315</v>
      </c>
      <c r="D36" s="61" t="s">
        <v>70</v>
      </c>
      <c r="E36" s="69">
        <v>44315</v>
      </c>
      <c r="F36" s="61" t="s">
        <v>70</v>
      </c>
      <c r="G36" s="61" t="s">
        <v>303</v>
      </c>
      <c r="H36" s="69">
        <v>44321</v>
      </c>
      <c r="I36" s="61" t="s">
        <v>70</v>
      </c>
      <c r="J36" s="61" t="s">
        <v>305</v>
      </c>
      <c r="K36" s="69">
        <v>44321</v>
      </c>
      <c r="L36" s="63" t="s">
        <v>70</v>
      </c>
      <c r="M36" s="69">
        <v>44321</v>
      </c>
      <c r="N36" s="61" t="s">
        <v>70</v>
      </c>
      <c r="O36" s="69">
        <v>44321</v>
      </c>
      <c r="P36" s="61" t="s">
        <v>70</v>
      </c>
      <c r="Q36" s="61" t="s">
        <v>306</v>
      </c>
      <c r="R36" s="69">
        <v>44330</v>
      </c>
      <c r="S36" s="61" t="s">
        <v>70</v>
      </c>
      <c r="T36" s="61"/>
      <c r="U36" s="61"/>
      <c r="V36" s="61"/>
      <c r="W36" s="61"/>
      <c r="X36" s="61"/>
      <c r="Y36" s="61"/>
      <c r="Z36" s="69">
        <v>44330</v>
      </c>
      <c r="AA36" s="61" t="s">
        <v>70</v>
      </c>
      <c r="AB36" s="61"/>
      <c r="AC36" s="61"/>
      <c r="AD36" s="61"/>
      <c r="AE36" s="61"/>
      <c r="AF36" s="61" t="s">
        <v>261</v>
      </c>
      <c r="AG36" s="69">
        <v>44334</v>
      </c>
      <c r="AH36" s="61" t="s">
        <v>70</v>
      </c>
      <c r="AI36" s="69">
        <v>44334</v>
      </c>
      <c r="AJ36" s="61" t="s">
        <v>70</v>
      </c>
    </row>
    <row r="37" spans="1:36" ht="66" customHeight="1" x14ac:dyDescent="0.2">
      <c r="A37" s="64" t="str">
        <f>HYPERLINK("\\temaznet\taymaceng\Controlled_Documents\APPROVED DOCUMENTS\FORMS-APPROVED\QC\QUALITY TRACKER\" &amp; YEAR('QUALITY LOG'!B37) &amp; " 8D's\" &amp; "8D-RTB21-14","8D-RTB21-14")</f>
        <v>8D-RTB21-14</v>
      </c>
      <c r="B37" s="62" t="s">
        <v>339</v>
      </c>
      <c r="C37" s="69">
        <v>44369</v>
      </c>
      <c r="D37" s="61" t="s">
        <v>70</v>
      </c>
      <c r="E37" s="69">
        <v>44369</v>
      </c>
      <c r="F37" s="61" t="s">
        <v>70</v>
      </c>
      <c r="G37" s="61" t="s">
        <v>340</v>
      </c>
      <c r="H37" s="69">
        <v>44369</v>
      </c>
      <c r="I37" s="61" t="s">
        <v>70</v>
      </c>
      <c r="J37" s="61"/>
      <c r="K37" s="61"/>
      <c r="L37" s="63"/>
      <c r="M37" s="69">
        <v>44369</v>
      </c>
      <c r="N37" s="61" t="s">
        <v>70</v>
      </c>
      <c r="O37" s="61"/>
      <c r="P37" s="61"/>
      <c r="Q37" s="61" t="s">
        <v>340</v>
      </c>
      <c r="R37" s="69">
        <v>44369</v>
      </c>
      <c r="S37" s="61" t="s">
        <v>70</v>
      </c>
      <c r="T37" s="61"/>
      <c r="U37" s="61"/>
      <c r="V37" s="61"/>
      <c r="W37" s="61"/>
      <c r="X37" s="61"/>
      <c r="Y37" s="61"/>
      <c r="Z37" s="69">
        <v>44369</v>
      </c>
      <c r="AA37" s="61" t="s">
        <v>70</v>
      </c>
      <c r="AB37" s="61"/>
      <c r="AC37" s="61"/>
      <c r="AD37" s="61"/>
      <c r="AE37" s="61"/>
      <c r="AF37" s="61" t="s">
        <v>340</v>
      </c>
      <c r="AG37" s="69">
        <v>44369</v>
      </c>
      <c r="AH37" s="61" t="s">
        <v>70</v>
      </c>
      <c r="AI37" s="69">
        <v>44369</v>
      </c>
      <c r="AJ37" s="61" t="s">
        <v>70</v>
      </c>
    </row>
    <row r="38" spans="1:36" ht="66" customHeight="1" x14ac:dyDescent="0.2">
      <c r="A38" s="64" t="str">
        <f>HYPERLINK("\\temaznet\taymaceng\Controlled_Documents\APPROVED DOCUMENTS\FORMS-APPROVED\QC\QUALITY TRACKER\" &amp; YEAR('QUALITY LOG'!B38) &amp; " 8D's\" &amp; "8D-RTB21-15","8D-RTB21-15")</f>
        <v>8D-RTB21-15</v>
      </c>
      <c r="B38" s="62" t="s">
        <v>370</v>
      </c>
      <c r="C38" s="69">
        <v>44326</v>
      </c>
      <c r="D38" s="61" t="s">
        <v>70</v>
      </c>
      <c r="E38" s="69">
        <v>44326</v>
      </c>
      <c r="F38" s="61" t="s">
        <v>70</v>
      </c>
      <c r="G38" s="61" t="s">
        <v>372</v>
      </c>
      <c r="H38" s="69">
        <v>44326</v>
      </c>
      <c r="I38" s="61" t="s">
        <v>70</v>
      </c>
      <c r="J38" s="61" t="s">
        <v>371</v>
      </c>
      <c r="K38" s="69">
        <v>44326</v>
      </c>
      <c r="L38" s="63" t="s">
        <v>70</v>
      </c>
      <c r="M38" s="69">
        <v>44326</v>
      </c>
      <c r="N38" s="61" t="s">
        <v>70</v>
      </c>
      <c r="O38" s="69">
        <v>44326</v>
      </c>
      <c r="P38" s="61" t="s">
        <v>70</v>
      </c>
      <c r="Q38" s="61" t="s">
        <v>369</v>
      </c>
      <c r="R38" s="69">
        <v>44326</v>
      </c>
      <c r="S38" s="61" t="s">
        <v>70</v>
      </c>
      <c r="T38" s="61"/>
      <c r="U38" s="61"/>
      <c r="V38" s="61"/>
      <c r="W38" s="61"/>
      <c r="X38" s="61"/>
      <c r="Y38" s="61"/>
      <c r="Z38" s="69">
        <v>44326</v>
      </c>
      <c r="AA38" s="61" t="s">
        <v>70</v>
      </c>
      <c r="AB38" s="61"/>
      <c r="AC38" s="61"/>
      <c r="AD38" s="61"/>
      <c r="AE38" s="61"/>
      <c r="AF38" s="61" t="s">
        <v>138</v>
      </c>
      <c r="AG38" s="69">
        <v>44326</v>
      </c>
      <c r="AH38" s="61" t="s">
        <v>70</v>
      </c>
      <c r="AI38" s="69">
        <v>44326</v>
      </c>
      <c r="AJ38" s="61" t="s">
        <v>70</v>
      </c>
    </row>
    <row r="39" spans="1:36" ht="66" customHeight="1" x14ac:dyDescent="0.2">
      <c r="A39" s="64" t="str">
        <f>HYPERLINK("\\temaznet\taymaceng\Controlled_Documents\APPROVED DOCUMENTS\FORMS-APPROVED\QC\QUALITY TRACKER\" &amp; YEAR('QUALITY LOG'!B39) &amp; " 8D's\" &amp; "8D-RTB21-16","8D-RTB21-16")</f>
        <v>8D-RTB21-16</v>
      </c>
      <c r="B39" s="62"/>
      <c r="C39" s="61"/>
      <c r="D39" s="61"/>
      <c r="E39" s="61"/>
      <c r="F39" s="61"/>
      <c r="G39" s="61"/>
      <c r="H39" s="61"/>
      <c r="I39" s="61"/>
      <c r="J39" s="61"/>
      <c r="K39" s="61"/>
      <c r="L39" s="63"/>
      <c r="M39" s="61"/>
      <c r="N39" s="61"/>
      <c r="O39" s="61"/>
      <c r="P39" s="61"/>
      <c r="Q39" s="61"/>
      <c r="R39" s="61"/>
      <c r="S39" s="61"/>
      <c r="T39" s="61"/>
      <c r="U39" s="61"/>
      <c r="V39" s="61"/>
      <c r="W39" s="61"/>
      <c r="X39" s="61"/>
      <c r="Y39" s="61"/>
      <c r="Z39" s="61"/>
      <c r="AA39" s="61"/>
      <c r="AB39" s="61"/>
      <c r="AC39" s="61"/>
      <c r="AD39" s="61"/>
      <c r="AE39" s="61"/>
      <c r="AF39" s="61"/>
      <c r="AG39" s="61"/>
      <c r="AH39" s="61"/>
      <c r="AI39" s="61"/>
      <c r="AJ39" s="61"/>
    </row>
    <row r="40" spans="1:36" ht="66" customHeight="1" x14ac:dyDescent="0.2">
      <c r="A40" s="64" t="str">
        <f>HYPERLINK("\\temaznet\taymaceng\Controlled_Documents\APPROVED DOCUMENTS\FORMS-APPROVED\QC\QUALITY TRACKER\" &amp; YEAR('QUALITY LOG'!B40) &amp; " 8D's\" &amp; "8D-RTB21-17","8D-RTB21-17")</f>
        <v>8D-RTB21-17</v>
      </c>
      <c r="B40" s="62"/>
      <c r="C40" s="61"/>
      <c r="D40" s="61"/>
      <c r="E40" s="61"/>
      <c r="F40" s="61"/>
      <c r="G40" s="61"/>
      <c r="H40" s="61"/>
      <c r="I40" s="61"/>
      <c r="J40" s="61"/>
      <c r="K40" s="61"/>
      <c r="L40" s="63"/>
      <c r="M40" s="61"/>
      <c r="N40" s="61"/>
      <c r="O40" s="61"/>
      <c r="P40" s="61"/>
      <c r="Q40" s="61"/>
      <c r="R40" s="61"/>
      <c r="S40" s="61"/>
      <c r="T40" s="61"/>
      <c r="U40" s="61"/>
      <c r="V40" s="61"/>
      <c r="W40" s="61"/>
      <c r="X40" s="61"/>
      <c r="Y40" s="61"/>
      <c r="Z40" s="61"/>
      <c r="AA40" s="61"/>
      <c r="AB40" s="61"/>
      <c r="AC40" s="61"/>
      <c r="AD40" s="61"/>
      <c r="AE40" s="61"/>
      <c r="AF40" s="61"/>
      <c r="AG40" s="61"/>
      <c r="AH40" s="61"/>
      <c r="AI40" s="61"/>
      <c r="AJ40" s="61"/>
    </row>
    <row r="41" spans="1:36" ht="66" customHeight="1" x14ac:dyDescent="0.2">
      <c r="A41" s="64" t="str">
        <f>HYPERLINK("\\temaznet\taymaceng\Controlled_Documents\APPROVED DOCUMENTS\FORMS-APPROVED\QC\QUALITY TRACKER\" &amp; YEAR('QUALITY LOG'!B41) &amp; " 8D's\" &amp; "8D-RTB21-18","8D-RTB21-18")</f>
        <v>8D-RTB21-18</v>
      </c>
      <c r="B41" s="62" t="s">
        <v>348</v>
      </c>
      <c r="C41" s="69">
        <v>44391</v>
      </c>
      <c r="D41" s="61" t="s">
        <v>50</v>
      </c>
      <c r="E41" s="69">
        <v>44397</v>
      </c>
      <c r="F41" s="61" t="s">
        <v>50</v>
      </c>
      <c r="G41" s="61" t="s">
        <v>349</v>
      </c>
      <c r="H41" s="69">
        <v>44391</v>
      </c>
      <c r="I41" s="61" t="s">
        <v>50</v>
      </c>
      <c r="J41" s="61" t="s">
        <v>350</v>
      </c>
      <c r="K41" s="69">
        <v>44391</v>
      </c>
      <c r="L41" s="63" t="s">
        <v>50</v>
      </c>
      <c r="M41" s="69">
        <v>44397</v>
      </c>
      <c r="N41" s="61" t="s">
        <v>50</v>
      </c>
      <c r="O41" s="69">
        <v>44397</v>
      </c>
      <c r="P41" s="61" t="s">
        <v>50</v>
      </c>
      <c r="Q41" s="61" t="s">
        <v>351</v>
      </c>
      <c r="R41" s="69">
        <v>44397</v>
      </c>
      <c r="S41" s="61" t="s">
        <v>50</v>
      </c>
      <c r="T41" s="61" t="s">
        <v>352</v>
      </c>
      <c r="U41" s="69">
        <v>44397</v>
      </c>
      <c r="V41" s="61" t="s">
        <v>50</v>
      </c>
      <c r="W41" s="61" t="s">
        <v>353</v>
      </c>
      <c r="X41" s="69">
        <v>44397</v>
      </c>
      <c r="Y41" s="61" t="s">
        <v>50</v>
      </c>
      <c r="Z41" s="69">
        <v>44397</v>
      </c>
      <c r="AA41" s="61" t="s">
        <v>50</v>
      </c>
      <c r="AB41" s="69">
        <v>44397</v>
      </c>
      <c r="AC41" s="61" t="s">
        <v>50</v>
      </c>
      <c r="AD41" s="69">
        <v>44397</v>
      </c>
      <c r="AE41" s="61" t="s">
        <v>50</v>
      </c>
      <c r="AF41" s="61" t="s">
        <v>354</v>
      </c>
      <c r="AG41" s="69">
        <v>44397</v>
      </c>
      <c r="AH41" s="61" t="s">
        <v>50</v>
      </c>
      <c r="AI41" s="69">
        <v>44397</v>
      </c>
      <c r="AJ41" s="61" t="s">
        <v>50</v>
      </c>
    </row>
  </sheetData>
  <sheetProtection algorithmName="SHA-512" hashValue="hUqehupZVXhQcNz5r2ES20VKCwvL4z+OgHrZteLdUCsPX/qqhnrcujFSsg+mer//4xsBzFstsvuvn8gtMASKFQ==" saltValue="xLXZvCMwOSwIUWw19GEC5g==" spinCount="100000" sheet="1" objects="1" scenarios="1" autoFilter="0"/>
  <mergeCells count="10">
    <mergeCell ref="AF2:AH2"/>
    <mergeCell ref="AI2:AJ2"/>
    <mergeCell ref="Q2:Y2"/>
    <mergeCell ref="A1:P1"/>
    <mergeCell ref="B2:D2"/>
    <mergeCell ref="E2:F2"/>
    <mergeCell ref="G2:L2"/>
    <mergeCell ref="M2:P2"/>
    <mergeCell ref="Z2:AE2"/>
    <mergeCell ref="Q1:AJ1"/>
  </mergeCells>
  <pageMargins left="0.7" right="0.7" top="0.75" bottom="0.75" header="0.3" footer="0.3"/>
  <pageSetup scale="50"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643CE-5D00-4D6F-9A20-66B502363659}">
  <sheetPr codeName="Sheet8DForm">
    <pageSetUpPr fitToPage="1"/>
  </sheetPr>
  <dimension ref="A1:N52"/>
  <sheetViews>
    <sheetView showGridLines="0" showRowColHeaders="0" showRuler="0" view="pageLayout" topLeftCell="A28" zoomScaleNormal="90" workbookViewId="0">
      <selection activeCell="G2" sqref="G2"/>
    </sheetView>
  </sheetViews>
  <sheetFormatPr defaultColWidth="8.85546875" defaultRowHeight="12.75" x14ac:dyDescent="0.2"/>
  <cols>
    <col min="1" max="2" width="2" customWidth="1"/>
    <col min="3" max="3" width="5.7109375" customWidth="1"/>
    <col min="4" max="4" width="1.7109375" customWidth="1"/>
    <col min="5" max="5" width="11.7109375" customWidth="1"/>
    <col min="6" max="6" width="2.28515625" customWidth="1"/>
    <col min="7" max="7" width="25.7109375" customWidth="1"/>
    <col min="8" max="8" width="33.5703125" customWidth="1"/>
    <col min="9" max="9" width="15" customWidth="1"/>
    <col min="10" max="10" width="1.7109375" customWidth="1"/>
    <col min="11" max="11" width="25.7109375" customWidth="1"/>
    <col min="12" max="12" width="8.28515625" customWidth="1"/>
    <col min="13" max="14" width="2" customWidth="1"/>
  </cols>
  <sheetData>
    <row r="1" spans="1:14" ht="9.9499999999999993" customHeight="1" thickBot="1" x14ac:dyDescent="0.25">
      <c r="A1" s="20"/>
      <c r="B1" s="20"/>
      <c r="C1" s="20"/>
      <c r="D1" s="20"/>
      <c r="E1" s="20"/>
      <c r="F1" s="20"/>
      <c r="G1" s="20"/>
      <c r="H1" s="20"/>
      <c r="I1" s="20"/>
      <c r="J1" s="20"/>
      <c r="K1" s="20"/>
      <c r="L1" s="20"/>
      <c r="M1" s="20"/>
      <c r="N1" s="20"/>
    </row>
    <row r="2" spans="1:14" ht="13.5" customHeight="1" thickBot="1" x14ac:dyDescent="0.25">
      <c r="A2" s="20"/>
      <c r="B2" s="20"/>
      <c r="C2" s="20"/>
      <c r="D2" s="20"/>
      <c r="E2" s="21" t="s">
        <v>23</v>
      </c>
      <c r="F2" s="20"/>
      <c r="G2" s="6"/>
      <c r="H2" s="22"/>
      <c r="I2" s="21" t="s">
        <v>27</v>
      </c>
      <c r="J2" s="20"/>
      <c r="K2" s="56"/>
      <c r="L2" s="20"/>
      <c r="M2" s="20"/>
      <c r="N2" s="20"/>
    </row>
    <row r="3" spans="1:14" ht="6" customHeight="1" thickBot="1" x14ac:dyDescent="0.25">
      <c r="A3" s="20"/>
      <c r="B3" s="20"/>
      <c r="C3" s="20"/>
      <c r="D3" s="20"/>
      <c r="E3" s="20"/>
      <c r="F3" s="20"/>
      <c r="G3" s="20"/>
      <c r="H3" s="20"/>
      <c r="I3" s="20"/>
      <c r="J3" s="20"/>
      <c r="K3" s="20"/>
      <c r="L3" s="20"/>
      <c r="M3" s="20"/>
      <c r="N3" s="20"/>
    </row>
    <row r="4" spans="1:14" ht="13.5" thickBot="1" x14ac:dyDescent="0.25">
      <c r="A4" s="20"/>
      <c r="B4" s="20"/>
      <c r="C4" s="20"/>
      <c r="D4" s="20"/>
      <c r="E4" s="21" t="s">
        <v>225</v>
      </c>
      <c r="F4" s="20"/>
      <c r="G4" s="6"/>
      <c r="H4" s="22"/>
      <c r="I4" s="21" t="s">
        <v>28</v>
      </c>
      <c r="J4" s="20"/>
      <c r="K4" s="81"/>
      <c r="L4" s="20"/>
      <c r="M4" s="20"/>
      <c r="N4" s="20"/>
    </row>
    <row r="5" spans="1:14" ht="6" customHeight="1" thickBot="1" x14ac:dyDescent="0.25">
      <c r="A5" s="20"/>
      <c r="B5" s="20"/>
      <c r="C5" s="20"/>
      <c r="D5" s="20"/>
      <c r="E5" s="20"/>
      <c r="F5" s="20"/>
      <c r="G5" s="20"/>
      <c r="H5" s="20"/>
      <c r="I5" s="20"/>
      <c r="J5" s="20"/>
      <c r="K5" s="20"/>
      <c r="L5" s="20"/>
      <c r="M5" s="20"/>
      <c r="N5" s="20"/>
    </row>
    <row r="6" spans="1:14" ht="13.5" thickBot="1" x14ac:dyDescent="0.25">
      <c r="A6" s="20"/>
      <c r="B6" s="20"/>
      <c r="C6" s="20"/>
      <c r="D6" s="20"/>
      <c r="E6" s="21" t="s">
        <v>24</v>
      </c>
      <c r="F6" s="21"/>
      <c r="G6" s="55"/>
      <c r="H6" s="22"/>
      <c r="I6" s="21" t="s">
        <v>29</v>
      </c>
      <c r="J6" s="20"/>
      <c r="K6" s="82"/>
      <c r="L6" s="20"/>
      <c r="M6" s="20"/>
      <c r="N6" s="20"/>
    </row>
    <row r="7" spans="1:14" ht="6" customHeight="1" thickBot="1" x14ac:dyDescent="0.25">
      <c r="A7" s="20"/>
      <c r="B7" s="20"/>
      <c r="C7" s="20"/>
      <c r="D7" s="20"/>
      <c r="E7" s="20"/>
      <c r="F7" s="20"/>
      <c r="G7" s="20"/>
      <c r="H7" s="20"/>
      <c r="I7" s="20"/>
      <c r="J7" s="20"/>
      <c r="K7" s="20"/>
      <c r="L7" s="20"/>
      <c r="M7" s="20"/>
      <c r="N7" s="20"/>
    </row>
    <row r="8" spans="1:14" ht="13.5" thickBot="1" x14ac:dyDescent="0.25">
      <c r="A8" s="20"/>
      <c r="B8" s="20"/>
      <c r="C8" s="20"/>
      <c r="D8" s="20"/>
      <c r="E8" s="21" t="s">
        <v>26</v>
      </c>
      <c r="F8" s="20"/>
      <c r="G8" s="56"/>
      <c r="H8" s="22"/>
      <c r="I8" s="21" t="s">
        <v>229</v>
      </c>
      <c r="J8" s="20"/>
      <c r="K8" s="57"/>
      <c r="L8" s="20"/>
      <c r="M8" s="20"/>
      <c r="N8" s="20"/>
    </row>
    <row r="9" spans="1:14" ht="13.5" thickBot="1" x14ac:dyDescent="0.25">
      <c r="A9" s="20"/>
      <c r="B9" s="20"/>
      <c r="C9" s="20"/>
      <c r="D9" s="20"/>
      <c r="E9" s="20"/>
      <c r="F9" s="20"/>
      <c r="G9" s="20"/>
      <c r="H9" s="20"/>
      <c r="I9" s="20"/>
      <c r="J9" s="20"/>
      <c r="L9" s="20"/>
      <c r="M9" s="20"/>
      <c r="N9" s="20"/>
    </row>
    <row r="10" spans="1:14" ht="13.5" thickBot="1" x14ac:dyDescent="0.25">
      <c r="A10" s="20"/>
      <c r="B10" s="20"/>
      <c r="C10" s="20"/>
      <c r="D10" s="20"/>
      <c r="E10" s="21" t="s">
        <v>60</v>
      </c>
      <c r="F10" s="20"/>
      <c r="G10" s="55"/>
      <c r="H10" s="20"/>
      <c r="I10" s="59" t="s">
        <v>31</v>
      </c>
      <c r="J10" s="20"/>
      <c r="K10" s="84"/>
      <c r="L10" s="20"/>
      <c r="M10" s="20"/>
      <c r="N10" s="20"/>
    </row>
    <row r="11" spans="1:14" x14ac:dyDescent="0.2">
      <c r="A11" s="20"/>
      <c r="B11" s="20"/>
      <c r="C11" s="20"/>
      <c r="D11" s="20"/>
      <c r="E11" s="20"/>
      <c r="F11" s="20"/>
      <c r="G11" s="20"/>
      <c r="H11" s="20"/>
      <c r="J11" s="20"/>
      <c r="K11" s="20"/>
      <c r="L11" s="20"/>
      <c r="M11" s="20"/>
      <c r="N11" s="20"/>
    </row>
    <row r="12" spans="1:14" ht="13.5" thickBot="1" x14ac:dyDescent="0.25">
      <c r="A12" s="20"/>
      <c r="B12" s="21" t="s">
        <v>227</v>
      </c>
      <c r="C12" s="20"/>
      <c r="D12" s="20"/>
      <c r="E12" s="20"/>
      <c r="F12" s="20"/>
      <c r="G12" s="20"/>
      <c r="H12" s="20"/>
      <c r="I12" s="20"/>
      <c r="J12" s="20"/>
      <c r="K12" s="20"/>
      <c r="L12" s="20"/>
      <c r="M12" s="20"/>
      <c r="N12" s="20"/>
    </row>
    <row r="13" spans="1:14" ht="15.75" customHeight="1" thickBot="1" x14ac:dyDescent="0.25">
      <c r="A13" s="20"/>
      <c r="B13" s="106"/>
      <c r="C13" s="107"/>
      <c r="D13" s="107"/>
      <c r="E13" s="107"/>
      <c r="F13" s="107"/>
      <c r="G13" s="107"/>
      <c r="H13" s="107"/>
      <c r="I13" s="107"/>
      <c r="J13" s="107"/>
      <c r="K13" s="107"/>
      <c r="L13" s="107"/>
      <c r="M13" s="107"/>
      <c r="N13" s="108"/>
    </row>
    <row r="14" spans="1:14" ht="6" customHeight="1" x14ac:dyDescent="0.2">
      <c r="A14" s="20"/>
      <c r="B14" s="20"/>
      <c r="C14" s="20"/>
      <c r="D14" s="20"/>
      <c r="E14" s="20"/>
      <c r="F14" s="20"/>
      <c r="G14" s="20"/>
      <c r="H14" s="20"/>
      <c r="I14" s="20"/>
      <c r="J14" s="20"/>
      <c r="K14" s="20"/>
      <c r="L14" s="20"/>
      <c r="M14" s="20"/>
      <c r="N14" s="20"/>
    </row>
    <row r="15" spans="1:14" ht="13.5" thickBot="1" x14ac:dyDescent="0.25">
      <c r="A15" s="20"/>
      <c r="B15" s="21" t="s">
        <v>228</v>
      </c>
      <c r="C15" s="20"/>
      <c r="D15" s="20"/>
      <c r="E15" s="20"/>
      <c r="F15" s="20"/>
      <c r="G15" s="20"/>
      <c r="H15" s="20"/>
      <c r="I15" s="20"/>
      <c r="J15" s="20"/>
      <c r="K15" s="20"/>
      <c r="L15" s="20"/>
      <c r="M15" s="20"/>
      <c r="N15" s="20"/>
    </row>
    <row r="16" spans="1:14" ht="13.5" thickBot="1" x14ac:dyDescent="0.25">
      <c r="A16" s="20"/>
      <c r="B16" s="106"/>
      <c r="C16" s="107"/>
      <c r="D16" s="107"/>
      <c r="E16" s="107"/>
      <c r="F16" s="107"/>
      <c r="G16" s="107"/>
      <c r="H16" s="107"/>
      <c r="I16" s="107"/>
      <c r="J16" s="107"/>
      <c r="K16" s="107"/>
      <c r="L16" s="107"/>
      <c r="M16" s="107"/>
      <c r="N16" s="108"/>
    </row>
    <row r="17" spans="1:14" ht="6" customHeight="1" x14ac:dyDescent="0.2">
      <c r="A17" s="20"/>
      <c r="B17" s="20"/>
      <c r="C17" s="20"/>
      <c r="D17" s="20"/>
      <c r="E17" s="20"/>
      <c r="F17" s="20"/>
      <c r="G17" s="20"/>
      <c r="H17" s="20"/>
      <c r="I17" s="20"/>
      <c r="J17" s="20"/>
      <c r="K17" s="20"/>
      <c r="L17" s="20"/>
      <c r="M17" s="20"/>
      <c r="N17" s="20"/>
    </row>
    <row r="18" spans="1:14" ht="13.5" thickBot="1" x14ac:dyDescent="0.25">
      <c r="A18" s="20"/>
      <c r="B18" s="21" t="s">
        <v>36</v>
      </c>
      <c r="C18" s="20"/>
      <c r="D18" s="20"/>
      <c r="E18" s="20"/>
      <c r="F18" s="20"/>
      <c r="G18" s="20"/>
      <c r="H18" s="20"/>
      <c r="I18" s="20"/>
      <c r="J18" s="20"/>
      <c r="K18" s="21" t="s">
        <v>38</v>
      </c>
      <c r="L18" s="23"/>
      <c r="M18" s="20"/>
      <c r="N18" s="20"/>
    </row>
    <row r="19" spans="1:14" ht="14.25" customHeight="1" thickBot="1" x14ac:dyDescent="0.25">
      <c r="A19" s="20"/>
      <c r="B19" s="24"/>
      <c r="C19" s="25"/>
      <c r="D19" s="25"/>
      <c r="E19" s="25"/>
      <c r="F19" s="25"/>
      <c r="G19" s="25"/>
      <c r="H19" s="26" t="s">
        <v>53</v>
      </c>
      <c r="I19" s="26" t="s">
        <v>33</v>
      </c>
      <c r="J19" s="25"/>
      <c r="K19" s="26" t="s">
        <v>32</v>
      </c>
      <c r="L19" s="26" t="s">
        <v>33</v>
      </c>
      <c r="M19" s="25"/>
      <c r="N19" s="27"/>
    </row>
    <row r="20" spans="1:14" ht="28.9" customHeight="1" x14ac:dyDescent="0.2">
      <c r="A20" s="20"/>
      <c r="B20" s="28"/>
      <c r="C20" s="103">
        <v>1</v>
      </c>
      <c r="D20" s="22"/>
      <c r="E20" s="97"/>
      <c r="F20" s="97"/>
      <c r="G20" s="97"/>
      <c r="H20" s="99"/>
      <c r="I20" s="101"/>
      <c r="J20" s="20"/>
      <c r="K20" s="99"/>
      <c r="L20" s="101"/>
      <c r="M20" s="105"/>
      <c r="N20" s="29"/>
    </row>
    <row r="21" spans="1:14" ht="28.9" customHeight="1" thickBot="1" x14ac:dyDescent="0.25">
      <c r="A21" s="20"/>
      <c r="B21" s="28"/>
      <c r="C21" s="104"/>
      <c r="D21" s="22"/>
      <c r="E21" s="98"/>
      <c r="F21" s="98"/>
      <c r="G21" s="98"/>
      <c r="H21" s="100"/>
      <c r="I21" s="109"/>
      <c r="J21" s="20"/>
      <c r="K21" s="100"/>
      <c r="L21" s="102"/>
      <c r="M21" s="102"/>
      <c r="N21" s="29"/>
    </row>
    <row r="22" spans="1:14" ht="14.25" customHeight="1" thickBot="1" x14ac:dyDescent="0.25">
      <c r="A22" s="20"/>
      <c r="B22" s="30"/>
      <c r="C22" s="31"/>
      <c r="D22" s="31"/>
      <c r="E22" s="31"/>
      <c r="F22" s="31"/>
      <c r="G22" s="31"/>
      <c r="H22" s="31"/>
      <c r="I22" s="31"/>
      <c r="J22" s="31"/>
      <c r="K22" s="31"/>
      <c r="L22" s="31"/>
      <c r="M22" s="31"/>
      <c r="N22" s="32"/>
    </row>
    <row r="23" spans="1:14" ht="6" customHeight="1" x14ac:dyDescent="0.2">
      <c r="A23" s="20"/>
      <c r="B23" s="20"/>
      <c r="C23" s="20"/>
      <c r="D23" s="20"/>
      <c r="E23" s="20"/>
      <c r="F23" s="20"/>
      <c r="G23" s="20"/>
      <c r="H23" s="20"/>
      <c r="I23" s="20"/>
      <c r="J23" s="20"/>
      <c r="K23" s="20"/>
      <c r="L23" s="20"/>
      <c r="M23" s="20"/>
      <c r="N23" s="20"/>
    </row>
    <row r="24" spans="1:14" ht="13.5" thickBot="1" x14ac:dyDescent="0.25">
      <c r="A24" s="20"/>
      <c r="B24" s="21" t="s">
        <v>37</v>
      </c>
      <c r="C24" s="20"/>
      <c r="D24" s="20"/>
      <c r="E24" s="20"/>
      <c r="F24" s="20"/>
      <c r="G24" s="20"/>
      <c r="H24" s="20"/>
      <c r="I24" s="20"/>
      <c r="J24" s="20"/>
      <c r="K24" s="20"/>
      <c r="L24" s="20"/>
      <c r="M24" s="20"/>
      <c r="N24" s="20"/>
    </row>
    <row r="25" spans="1:14" ht="18.600000000000001" customHeight="1" thickBot="1" x14ac:dyDescent="0.25">
      <c r="A25" s="20"/>
      <c r="B25" s="33"/>
      <c r="C25" s="34"/>
      <c r="D25" s="34"/>
      <c r="E25" s="34"/>
      <c r="F25" s="34"/>
      <c r="G25" s="34"/>
      <c r="H25" s="26" t="s">
        <v>53</v>
      </c>
      <c r="I25" s="26" t="s">
        <v>33</v>
      </c>
      <c r="J25" s="34"/>
      <c r="K25" s="35"/>
      <c r="L25" s="35" t="s">
        <v>33</v>
      </c>
      <c r="M25" s="34"/>
      <c r="N25" s="36"/>
    </row>
    <row r="26" spans="1:14" ht="28.9" customHeight="1" x14ac:dyDescent="0.2">
      <c r="A26" s="20"/>
      <c r="B26" s="37"/>
      <c r="C26" s="103">
        <v>1</v>
      </c>
      <c r="D26" s="38"/>
      <c r="E26" s="97"/>
      <c r="F26" s="97"/>
      <c r="G26" s="97"/>
      <c r="H26" s="110"/>
      <c r="I26" s="112"/>
      <c r="J26" s="20"/>
      <c r="K26" s="99"/>
      <c r="L26" s="101"/>
      <c r="M26" s="105"/>
      <c r="N26" s="39"/>
    </row>
    <row r="27" spans="1:14" ht="28.9" customHeight="1" thickBot="1" x14ac:dyDescent="0.25">
      <c r="A27" s="20"/>
      <c r="B27" s="37"/>
      <c r="C27" s="104"/>
      <c r="D27" s="38"/>
      <c r="E27" s="98"/>
      <c r="F27" s="98"/>
      <c r="G27" s="98"/>
      <c r="H27" s="111"/>
      <c r="I27" s="113"/>
      <c r="J27" s="20"/>
      <c r="K27" s="100"/>
      <c r="L27" s="102"/>
      <c r="M27" s="102"/>
      <c r="N27" s="39"/>
    </row>
    <row r="28" spans="1:14" ht="14.25" customHeight="1" thickBot="1" x14ac:dyDescent="0.25">
      <c r="A28" s="20"/>
      <c r="B28" s="37"/>
      <c r="C28" s="22"/>
      <c r="D28" s="22"/>
      <c r="E28" s="20"/>
      <c r="F28" s="20"/>
      <c r="G28" s="20"/>
      <c r="H28" s="20"/>
      <c r="I28" s="20"/>
      <c r="J28" s="20"/>
      <c r="K28" s="20"/>
      <c r="L28" s="40"/>
      <c r="M28" s="20"/>
      <c r="N28" s="39"/>
    </row>
    <row r="29" spans="1:14" ht="28.9" customHeight="1" x14ac:dyDescent="0.2">
      <c r="A29" s="20"/>
      <c r="B29" s="37"/>
      <c r="C29" s="103">
        <v>2</v>
      </c>
      <c r="D29" s="38"/>
      <c r="E29" s="97"/>
      <c r="F29" s="97"/>
      <c r="G29" s="97"/>
      <c r="H29" s="99"/>
      <c r="I29" s="101"/>
      <c r="J29" s="20"/>
      <c r="K29" s="99"/>
      <c r="L29" s="101"/>
      <c r="M29" s="105"/>
      <c r="N29" s="39"/>
    </row>
    <row r="30" spans="1:14" ht="28.9" customHeight="1" thickBot="1" x14ac:dyDescent="0.25">
      <c r="A30" s="20"/>
      <c r="B30" s="37"/>
      <c r="C30" s="104"/>
      <c r="D30" s="38"/>
      <c r="E30" s="98"/>
      <c r="F30" s="98"/>
      <c r="G30" s="98"/>
      <c r="H30" s="100"/>
      <c r="I30" s="102"/>
      <c r="J30" s="20"/>
      <c r="K30" s="100"/>
      <c r="L30" s="102"/>
      <c r="M30" s="102"/>
      <c r="N30" s="39"/>
    </row>
    <row r="31" spans="1:14" ht="14.25" customHeight="1" thickBot="1" x14ac:dyDescent="0.25">
      <c r="A31" s="20"/>
      <c r="B31" s="41"/>
      <c r="C31" s="42"/>
      <c r="D31" s="42"/>
      <c r="E31" s="43"/>
      <c r="F31" s="43"/>
      <c r="G31" s="43"/>
      <c r="H31" s="43"/>
      <c r="I31" s="43"/>
      <c r="J31" s="43"/>
      <c r="K31" s="43"/>
      <c r="L31" s="43"/>
      <c r="M31" s="43"/>
      <c r="N31" s="44"/>
    </row>
    <row r="32" spans="1:14" ht="6" customHeight="1" x14ac:dyDescent="0.2">
      <c r="A32" s="20"/>
      <c r="B32" s="20"/>
      <c r="C32" s="22"/>
      <c r="D32" s="22"/>
      <c r="E32" s="20"/>
      <c r="F32" s="20"/>
      <c r="G32" s="20"/>
      <c r="H32" s="20"/>
      <c r="I32" s="20"/>
      <c r="J32" s="20"/>
      <c r="K32" s="20"/>
      <c r="L32" s="20"/>
      <c r="M32" s="20"/>
      <c r="N32" s="20"/>
    </row>
    <row r="33" spans="1:14" ht="13.5" thickBot="1" x14ac:dyDescent="0.25">
      <c r="A33" s="20"/>
      <c r="B33" s="21" t="s">
        <v>34</v>
      </c>
      <c r="C33" s="20"/>
      <c r="D33" s="20"/>
      <c r="E33" s="20"/>
      <c r="F33" s="20"/>
      <c r="G33" s="20"/>
      <c r="H33" s="20"/>
      <c r="I33" s="20"/>
      <c r="J33" s="20"/>
      <c r="K33" s="20"/>
      <c r="L33" s="20"/>
      <c r="M33" s="20"/>
      <c r="N33" s="20"/>
    </row>
    <row r="34" spans="1:14" ht="14.25" customHeight="1" thickBot="1" x14ac:dyDescent="0.25">
      <c r="A34" s="20"/>
      <c r="B34" s="24"/>
      <c r="C34" s="25"/>
      <c r="D34" s="25"/>
      <c r="E34" s="25"/>
      <c r="F34" s="25"/>
      <c r="G34" s="25"/>
      <c r="H34" s="25"/>
      <c r="I34" s="25"/>
      <c r="J34" s="25"/>
      <c r="K34" s="26" t="s">
        <v>32</v>
      </c>
      <c r="L34" s="26" t="s">
        <v>33</v>
      </c>
      <c r="M34" s="25"/>
      <c r="N34" s="27"/>
    </row>
    <row r="35" spans="1:14" ht="28.9" customHeight="1" x14ac:dyDescent="0.2">
      <c r="A35" s="20"/>
      <c r="B35" s="28"/>
      <c r="C35" s="103">
        <v>1</v>
      </c>
      <c r="D35" s="38"/>
      <c r="E35" s="97"/>
      <c r="F35" s="97"/>
      <c r="G35" s="97"/>
      <c r="H35" s="99"/>
      <c r="I35" s="101"/>
      <c r="J35" s="20"/>
      <c r="K35" s="99"/>
      <c r="L35" s="101"/>
      <c r="M35" s="105"/>
      <c r="N35" s="29"/>
    </row>
    <row r="36" spans="1:14" ht="28.9" customHeight="1" thickBot="1" x14ac:dyDescent="0.25">
      <c r="A36" s="20"/>
      <c r="B36" s="28"/>
      <c r="C36" s="104"/>
      <c r="D36" s="38"/>
      <c r="E36" s="98"/>
      <c r="F36" s="98"/>
      <c r="G36" s="98"/>
      <c r="H36" s="100"/>
      <c r="I36" s="102"/>
      <c r="J36" s="20"/>
      <c r="K36" s="100"/>
      <c r="L36" s="102"/>
      <c r="M36" s="102"/>
      <c r="N36" s="29"/>
    </row>
    <row r="37" spans="1:14" ht="14.25" customHeight="1" thickBot="1" x14ac:dyDescent="0.25">
      <c r="A37" s="20"/>
      <c r="B37" s="28"/>
      <c r="C37" s="22"/>
      <c r="D37" s="22"/>
      <c r="E37" s="20"/>
      <c r="F37" s="20"/>
      <c r="G37" s="20"/>
      <c r="H37" s="20"/>
      <c r="I37" s="20"/>
      <c r="J37" s="20"/>
      <c r="K37" s="20"/>
      <c r="L37" s="20"/>
      <c r="M37" s="20"/>
      <c r="N37" s="29"/>
    </row>
    <row r="38" spans="1:14" ht="28.9" customHeight="1" x14ac:dyDescent="0.2">
      <c r="A38" s="20"/>
      <c r="B38" s="28"/>
      <c r="C38" s="103">
        <v>2</v>
      </c>
      <c r="D38" s="38"/>
      <c r="E38" s="97"/>
      <c r="F38" s="97"/>
      <c r="G38" s="97"/>
      <c r="H38" s="99"/>
      <c r="I38" s="101"/>
      <c r="J38" s="20"/>
      <c r="K38" s="99"/>
      <c r="L38" s="101"/>
      <c r="M38" s="105"/>
      <c r="N38" s="29"/>
    </row>
    <row r="39" spans="1:14" ht="28.9" customHeight="1" thickBot="1" x14ac:dyDescent="0.25">
      <c r="A39" s="20"/>
      <c r="B39" s="28"/>
      <c r="C39" s="104"/>
      <c r="D39" s="38"/>
      <c r="E39" s="98"/>
      <c r="F39" s="98"/>
      <c r="G39" s="98"/>
      <c r="H39" s="100"/>
      <c r="I39" s="102"/>
      <c r="J39" s="20"/>
      <c r="K39" s="100"/>
      <c r="L39" s="102"/>
      <c r="M39" s="102"/>
      <c r="N39" s="29"/>
    </row>
    <row r="40" spans="1:14" ht="14.25" customHeight="1" thickBot="1" x14ac:dyDescent="0.25">
      <c r="A40" s="20"/>
      <c r="B40" s="28"/>
      <c r="C40" s="22"/>
      <c r="D40" s="22"/>
      <c r="E40" s="20"/>
      <c r="F40" s="20"/>
      <c r="G40" s="20"/>
      <c r="H40" s="20"/>
      <c r="I40" s="20"/>
      <c r="J40" s="20"/>
      <c r="K40" s="20"/>
      <c r="L40" s="20"/>
      <c r="M40" s="20"/>
      <c r="N40" s="29"/>
    </row>
    <row r="41" spans="1:14" ht="28.9" customHeight="1" x14ac:dyDescent="0.2">
      <c r="A41" s="20"/>
      <c r="B41" s="28"/>
      <c r="C41" s="103">
        <v>3</v>
      </c>
      <c r="D41" s="38"/>
      <c r="E41" s="97"/>
      <c r="F41" s="97"/>
      <c r="G41" s="97"/>
      <c r="H41" s="99"/>
      <c r="I41" s="101"/>
      <c r="J41" s="20"/>
      <c r="K41" s="99"/>
      <c r="L41" s="101"/>
      <c r="M41" s="105"/>
      <c r="N41" s="29"/>
    </row>
    <row r="42" spans="1:14" ht="28.9" customHeight="1" thickBot="1" x14ac:dyDescent="0.25">
      <c r="A42" s="20"/>
      <c r="B42" s="28"/>
      <c r="C42" s="104"/>
      <c r="D42" s="38"/>
      <c r="E42" s="98"/>
      <c r="F42" s="98"/>
      <c r="G42" s="98"/>
      <c r="H42" s="100"/>
      <c r="I42" s="102"/>
      <c r="J42" s="20"/>
      <c r="K42" s="100"/>
      <c r="L42" s="102"/>
      <c r="M42" s="102"/>
      <c r="N42" s="29"/>
    </row>
    <row r="43" spans="1:14" ht="14.25" customHeight="1" thickBot="1" x14ac:dyDescent="0.25">
      <c r="A43" s="20"/>
      <c r="B43" s="30"/>
      <c r="C43" s="45"/>
      <c r="D43" s="45"/>
      <c r="E43" s="31"/>
      <c r="F43" s="31"/>
      <c r="G43" s="31"/>
      <c r="H43" s="31"/>
      <c r="I43" s="31"/>
      <c r="J43" s="31"/>
      <c r="K43" s="31"/>
      <c r="L43" s="31"/>
      <c r="M43" s="31"/>
      <c r="N43" s="32"/>
    </row>
    <row r="44" spans="1:14" ht="6" customHeight="1" x14ac:dyDescent="0.2">
      <c r="A44" s="20"/>
      <c r="B44" s="20"/>
      <c r="C44" s="22"/>
      <c r="D44" s="22"/>
      <c r="E44" s="20"/>
      <c r="F44" s="20"/>
      <c r="G44" s="20"/>
      <c r="H44" s="20"/>
      <c r="I44" s="20"/>
      <c r="J44" s="20"/>
      <c r="K44" s="20"/>
      <c r="L44" s="20"/>
      <c r="M44" s="20"/>
      <c r="N44" s="20"/>
    </row>
    <row r="45" spans="1:14" ht="13.5" thickBot="1" x14ac:dyDescent="0.25">
      <c r="A45" s="20"/>
      <c r="B45" s="21" t="s">
        <v>69</v>
      </c>
      <c r="C45" s="20"/>
      <c r="D45" s="20"/>
      <c r="E45" s="20"/>
      <c r="F45" s="20"/>
      <c r="G45" s="20"/>
      <c r="H45" s="20"/>
      <c r="I45" s="20"/>
      <c r="J45" s="20"/>
      <c r="K45" s="21"/>
      <c r="L45" s="23"/>
      <c r="M45" s="20"/>
      <c r="N45" s="20"/>
    </row>
    <row r="46" spans="1:14" ht="13.5" thickBot="1" x14ac:dyDescent="0.25">
      <c r="A46" s="20"/>
      <c r="B46" s="24"/>
      <c r="C46" s="25"/>
      <c r="D46" s="25"/>
      <c r="E46" s="25"/>
      <c r="F46" s="25"/>
      <c r="G46" s="25"/>
      <c r="H46" s="25"/>
      <c r="I46" s="25"/>
      <c r="J46" s="25"/>
      <c r="K46" s="26" t="s">
        <v>32</v>
      </c>
      <c r="L46" s="26" t="s">
        <v>33</v>
      </c>
      <c r="M46" s="25"/>
      <c r="N46" s="27"/>
    </row>
    <row r="47" spans="1:14" ht="28.9" customHeight="1" x14ac:dyDescent="0.2">
      <c r="A47" s="20"/>
      <c r="B47" s="28"/>
      <c r="C47" s="103">
        <v>1</v>
      </c>
      <c r="D47" s="22"/>
      <c r="E47" s="97"/>
      <c r="F47" s="97"/>
      <c r="G47" s="97"/>
      <c r="H47" s="99"/>
      <c r="I47" s="101"/>
      <c r="J47" s="20"/>
      <c r="K47" s="99"/>
      <c r="L47" s="101"/>
      <c r="M47" s="105"/>
      <c r="N47" s="29"/>
    </row>
    <row r="48" spans="1:14" ht="28.9" customHeight="1" thickBot="1" x14ac:dyDescent="0.25">
      <c r="A48" s="20"/>
      <c r="B48" s="28"/>
      <c r="C48" s="104"/>
      <c r="D48" s="22"/>
      <c r="E48" s="98"/>
      <c r="F48" s="98"/>
      <c r="G48" s="98"/>
      <c r="H48" s="100"/>
      <c r="I48" s="102"/>
      <c r="J48" s="20"/>
      <c r="K48" s="100"/>
      <c r="L48" s="102"/>
      <c r="M48" s="102"/>
      <c r="N48" s="29"/>
    </row>
    <row r="49" spans="1:14" ht="13.5" thickBot="1" x14ac:dyDescent="0.25">
      <c r="A49" s="20"/>
      <c r="B49" s="30"/>
      <c r="C49" s="31"/>
      <c r="D49" s="31"/>
      <c r="E49" s="31"/>
      <c r="F49" s="31"/>
      <c r="G49" s="31"/>
      <c r="H49" s="31"/>
      <c r="I49" s="31"/>
      <c r="J49" s="31"/>
      <c r="K49" s="31"/>
      <c r="L49" s="31"/>
      <c r="M49" s="31"/>
      <c r="N49" s="32"/>
    </row>
    <row r="50" spans="1:14" ht="13.5" thickBot="1" x14ac:dyDescent="0.25"/>
    <row r="51" spans="1:14" ht="21.6" customHeight="1" thickBot="1" x14ac:dyDescent="0.25">
      <c r="E51" s="46" t="s">
        <v>1</v>
      </c>
      <c r="G51" s="83"/>
      <c r="I51" s="46" t="s">
        <v>21</v>
      </c>
      <c r="K51" s="54"/>
    </row>
    <row r="52" spans="1:14" x14ac:dyDescent="0.2">
      <c r="D52" s="20"/>
      <c r="F52" s="20"/>
      <c r="G52" s="21"/>
      <c r="H52" s="20"/>
    </row>
  </sheetData>
  <sheetProtection algorithmName="SHA-512" hashValue="VrkNHhEeM5b/igYMTfQPJrKAsDjUDDpxiq8qq0Wwn6NSuKzr+Smih5/2I96teQL/NaywI60B2Pdr74kNnksfuw==" saltValue="6VZ3QPW0EKsAG/wZ/3EIcQ==" spinCount="100000" sheet="1" objects="1" scenarios="1" autoFilter="0"/>
  <mergeCells count="44">
    <mergeCell ref="C26:C27"/>
    <mergeCell ref="C41:C42"/>
    <mergeCell ref="C29:C30"/>
    <mergeCell ref="K41:K42"/>
    <mergeCell ref="L41:M42"/>
    <mergeCell ref="K35:K36"/>
    <mergeCell ref="L35:M36"/>
    <mergeCell ref="K38:K39"/>
    <mergeCell ref="L38:M39"/>
    <mergeCell ref="E41:G42"/>
    <mergeCell ref="H41:H42"/>
    <mergeCell ref="I41:I42"/>
    <mergeCell ref="E26:G27"/>
    <mergeCell ref="H26:H27"/>
    <mergeCell ref="I26:I27"/>
    <mergeCell ref="E29:G30"/>
    <mergeCell ref="K26:K27"/>
    <mergeCell ref="L26:M27"/>
    <mergeCell ref="K29:K30"/>
    <mergeCell ref="L29:M30"/>
    <mergeCell ref="K47:K48"/>
    <mergeCell ref="L47:M48"/>
    <mergeCell ref="L20:M21"/>
    <mergeCell ref="K20:K21"/>
    <mergeCell ref="B13:N13"/>
    <mergeCell ref="B16:N16"/>
    <mergeCell ref="C20:C21"/>
    <mergeCell ref="I20:I21"/>
    <mergeCell ref="E20:G21"/>
    <mergeCell ref="H20:H21"/>
    <mergeCell ref="I29:I30"/>
    <mergeCell ref="E38:G39"/>
    <mergeCell ref="H38:H39"/>
    <mergeCell ref="I35:I36"/>
    <mergeCell ref="I38:I39"/>
    <mergeCell ref="H29:H30"/>
    <mergeCell ref="E47:G48"/>
    <mergeCell ref="H47:H48"/>
    <mergeCell ref="I47:I48"/>
    <mergeCell ref="C35:C36"/>
    <mergeCell ref="C38:C39"/>
    <mergeCell ref="E35:G36"/>
    <mergeCell ref="H35:H36"/>
    <mergeCell ref="C47:C48"/>
  </mergeCells>
  <dataValidations count="3">
    <dataValidation type="list" allowBlank="1" showInputMessage="1" showErrorMessage="1" sqref="K26 H41 K38 K41 H38 H29 H47 H26 K20 H20 K29 H35 K35 K47" xr:uid="{AAD1E4C4-13B6-4D69-B936-ADC95FF3E79F}">
      <formula1>Individual_Team_Members</formula1>
    </dataValidation>
    <dataValidation type="list" allowBlank="1" showInputMessage="1" showErrorMessage="1" sqref="K8" xr:uid="{D572A9F6-D018-49EE-AFBB-55346DA0FBEF}">
      <formula1>Members</formula1>
    </dataValidation>
    <dataValidation type="list" allowBlank="1" showInputMessage="1" showErrorMessage="1" sqref="G4" xr:uid="{838E1B97-B1A2-4531-8DF3-70C316E05B0A}">
      <formula1>Type1</formula1>
    </dataValidation>
  </dataValidations>
  <pageMargins left="0.7" right="0.7" top="0.75" bottom="0.75" header="0.3" footer="0.3"/>
  <pageSetup scale="65" orientation="portrait" r:id="rId1"/>
  <headerFooter>
    <oddHeader xml:space="preserve">&amp;C  </oddHeader>
    <oddFooter xml:space="preserve">&amp;C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Sheet8DForm.ExitForm">
                <anchor moveWithCells="1" sizeWithCells="1">
                  <from>
                    <xdr:col>2</xdr:col>
                    <xdr:colOff>314325</xdr:colOff>
                    <xdr:row>53</xdr:row>
                    <xdr:rowOff>47625</xdr:rowOff>
                  </from>
                  <to>
                    <xdr:col>6</xdr:col>
                    <xdr:colOff>1000125</xdr:colOff>
                    <xdr:row>55</xdr:row>
                    <xdr:rowOff>28575</xdr:rowOff>
                  </to>
                </anchor>
              </controlPr>
            </control>
          </mc:Choice>
        </mc:AlternateContent>
        <mc:AlternateContent xmlns:mc="http://schemas.openxmlformats.org/markup-compatibility/2006">
          <mc:Choice Requires="x14">
            <control shapeId="7171" r:id="rId5" name="Button 3">
              <controlPr defaultSize="0" print="0" autoFill="0" autoPict="0" macro="[0]!Sheet8DForm.TransferData">
                <anchor moveWithCells="1" sizeWithCells="1">
                  <from>
                    <xdr:col>7</xdr:col>
                    <xdr:colOff>257175</xdr:colOff>
                    <xdr:row>53</xdr:row>
                    <xdr:rowOff>47625</xdr:rowOff>
                  </from>
                  <to>
                    <xdr:col>8</xdr:col>
                    <xdr:colOff>95250</xdr:colOff>
                    <xdr:row>55</xdr:row>
                    <xdr:rowOff>28575</xdr:rowOff>
                  </to>
                </anchor>
              </controlPr>
            </control>
          </mc:Choice>
        </mc:AlternateContent>
        <mc:AlternateContent xmlns:mc="http://schemas.openxmlformats.org/markup-compatibility/2006">
          <mc:Choice Requires="x14">
            <control shapeId="7178" r:id="rId6" name="Button 10">
              <controlPr defaultSize="0" print="0" autoFill="0" autoPict="0" macro="[0]!Sheet8DForm.SavesAsPDF">
                <anchor moveWithCells="1" sizeWithCells="1">
                  <from>
                    <xdr:col>9</xdr:col>
                    <xdr:colOff>38100</xdr:colOff>
                    <xdr:row>53</xdr:row>
                    <xdr:rowOff>47625</xdr:rowOff>
                  </from>
                  <to>
                    <xdr:col>11</xdr:col>
                    <xdr:colOff>314325</xdr:colOff>
                    <xdr:row>55</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T3"/>
  <sheetViews>
    <sheetView showRowColHeaders="0" workbookViewId="0">
      <selection activeCell="B6" sqref="B6"/>
    </sheetView>
  </sheetViews>
  <sheetFormatPr defaultColWidth="20.7109375" defaultRowHeight="12.75" x14ac:dyDescent="0.2"/>
  <cols>
    <col min="1" max="16384" width="20.7109375" style="2"/>
  </cols>
  <sheetData>
    <row r="1" spans="1:20" ht="25.5" x14ac:dyDescent="0.2">
      <c r="A1" s="4" t="s">
        <v>39</v>
      </c>
      <c r="B1" s="4" t="s">
        <v>3</v>
      </c>
      <c r="C1" s="4"/>
      <c r="D1" s="19">
        <v>44428.579004629632</v>
      </c>
      <c r="E1" s="4" t="s">
        <v>35</v>
      </c>
      <c r="F1" s="4" t="s">
        <v>6</v>
      </c>
      <c r="G1" s="4" t="s">
        <v>5</v>
      </c>
      <c r="H1" s="4"/>
      <c r="I1" s="4"/>
      <c r="J1" s="4"/>
      <c r="K1" s="4"/>
      <c r="L1" s="4"/>
      <c r="M1" s="4"/>
      <c r="N1" s="4"/>
      <c r="O1" s="4"/>
      <c r="P1" s="4"/>
      <c r="Q1" s="4"/>
      <c r="R1" s="4"/>
      <c r="S1" s="4"/>
      <c r="T1" s="4"/>
    </row>
    <row r="2" spans="1:20" ht="38.25" x14ac:dyDescent="0.2">
      <c r="A2" s="4" t="s">
        <v>48</v>
      </c>
      <c r="B2" s="4"/>
      <c r="C2" s="4"/>
      <c r="D2" s="4"/>
      <c r="E2" s="4"/>
      <c r="F2" s="4"/>
      <c r="G2" s="4"/>
      <c r="H2" s="4"/>
      <c r="I2" s="4"/>
      <c r="J2" s="4"/>
      <c r="K2" s="4"/>
      <c r="L2" s="4"/>
      <c r="M2" s="4"/>
      <c r="N2" s="4"/>
      <c r="O2" s="4"/>
      <c r="P2" s="4"/>
      <c r="Q2" s="4"/>
      <c r="R2" s="4"/>
      <c r="S2" s="4"/>
      <c r="T2" s="4"/>
    </row>
    <row r="3" spans="1:20" ht="25.5" x14ac:dyDescent="0.2">
      <c r="A3" s="4" t="s">
        <v>9</v>
      </c>
      <c r="B3" s="4" t="s">
        <v>10</v>
      </c>
      <c r="C3" s="4" t="s">
        <v>14</v>
      </c>
      <c r="D3" s="4" t="s">
        <v>11</v>
      </c>
      <c r="E3" s="4" t="s">
        <v>12</v>
      </c>
      <c r="F3" s="4" t="s">
        <v>43</v>
      </c>
      <c r="G3" s="4" t="s">
        <v>44</v>
      </c>
      <c r="H3" s="4" t="s">
        <v>13</v>
      </c>
      <c r="I3" s="4" t="s">
        <v>22</v>
      </c>
      <c r="J3" s="4" t="s">
        <v>25</v>
      </c>
      <c r="K3" s="4" t="s">
        <v>15</v>
      </c>
      <c r="L3" s="4" t="s">
        <v>16</v>
      </c>
      <c r="M3" s="4" t="s">
        <v>17</v>
      </c>
      <c r="N3" s="4" t="s">
        <v>18</v>
      </c>
      <c r="O3" s="4" t="s">
        <v>19</v>
      </c>
      <c r="P3" s="4" t="s">
        <v>20</v>
      </c>
      <c r="Q3" s="4" t="s">
        <v>21</v>
      </c>
      <c r="R3" s="4" t="s">
        <v>1</v>
      </c>
      <c r="S3" s="4" t="s">
        <v>0</v>
      </c>
      <c r="T3" s="4" t="s">
        <v>7</v>
      </c>
    </row>
  </sheetData>
  <pageMargins left="0.7" right="0.7" top="0.75" bottom="0.75" header="0.3" footer="0.3"/>
  <customProperties>
    <customPr name="EpmWorksheetKeyString_GUID" r:id="rId1"/>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C28"/>
  <sheetViews>
    <sheetView zoomScaleNormal="100" workbookViewId="0">
      <selection activeCell="C12" sqref="C12"/>
    </sheetView>
  </sheetViews>
  <sheetFormatPr defaultColWidth="9.140625" defaultRowHeight="12.75" x14ac:dyDescent="0.2"/>
  <cols>
    <col min="1" max="1" width="12.28515625" style="1" customWidth="1"/>
    <col min="2" max="2" width="20.7109375" style="1" customWidth="1"/>
    <col min="3" max="3" width="24.140625" style="1" customWidth="1"/>
    <col min="4" max="16384" width="9.140625" style="1"/>
  </cols>
  <sheetData>
    <row r="1" spans="1:3" s="3" customFormat="1" x14ac:dyDescent="0.2">
      <c r="A1" s="3" t="s">
        <v>4</v>
      </c>
      <c r="B1" s="3" t="s">
        <v>30</v>
      </c>
      <c r="C1" s="3" t="s">
        <v>49</v>
      </c>
    </row>
    <row r="2" spans="1:3" x14ac:dyDescent="0.2">
      <c r="A2" s="5" t="s">
        <v>80</v>
      </c>
      <c r="B2" s="5" t="s">
        <v>70</v>
      </c>
      <c r="C2" s="5" t="s">
        <v>50</v>
      </c>
    </row>
    <row r="3" spans="1:3" x14ac:dyDescent="0.2">
      <c r="A3" s="5" t="s">
        <v>81</v>
      </c>
      <c r="B3" s="5" t="s">
        <v>71</v>
      </c>
      <c r="C3" s="5" t="s">
        <v>70</v>
      </c>
    </row>
    <row r="4" spans="1:3" x14ac:dyDescent="0.2">
      <c r="B4" s="5" t="s">
        <v>72</v>
      </c>
      <c r="C4" s="5" t="s">
        <v>71</v>
      </c>
    </row>
    <row r="5" spans="1:3" x14ac:dyDescent="0.2">
      <c r="B5" s="5" t="s">
        <v>222</v>
      </c>
      <c r="C5" s="5" t="s">
        <v>72</v>
      </c>
    </row>
    <row r="6" spans="1:3" x14ac:dyDescent="0.2">
      <c r="B6" s="5" t="s">
        <v>223</v>
      </c>
      <c r="C6" s="5" t="s">
        <v>220</v>
      </c>
    </row>
    <row r="7" spans="1:3" x14ac:dyDescent="0.2">
      <c r="B7" s="5" t="s">
        <v>224</v>
      </c>
      <c r="C7" s="5" t="s">
        <v>221</v>
      </c>
    </row>
    <row r="8" spans="1:3" x14ac:dyDescent="0.2">
      <c r="C8" s="5" t="s">
        <v>222</v>
      </c>
    </row>
    <row r="9" spans="1:3" x14ac:dyDescent="0.2">
      <c r="C9" s="5" t="s">
        <v>223</v>
      </c>
    </row>
    <row r="10" spans="1:3" x14ac:dyDescent="0.2">
      <c r="C10" s="5" t="s">
        <v>224</v>
      </c>
    </row>
    <row r="11" spans="1:3" x14ac:dyDescent="0.2">
      <c r="C11" s="5" t="s">
        <v>254</v>
      </c>
    </row>
    <row r="17" s="1" customFormat="1" x14ac:dyDescent="0.2"/>
    <row r="18" s="1" customFormat="1" x14ac:dyDescent="0.2"/>
    <row r="19" s="1" customFormat="1" x14ac:dyDescent="0.2"/>
    <row r="20" s="1" customFormat="1" x14ac:dyDescent="0.2"/>
    <row r="21" s="1" customFormat="1" x14ac:dyDescent="0.2"/>
    <row r="22" s="1" customFormat="1" x14ac:dyDescent="0.2"/>
    <row r="23" s="1" customFormat="1" x14ac:dyDescent="0.2"/>
    <row r="24" s="1" customFormat="1" x14ac:dyDescent="0.2"/>
    <row r="25" s="1" customFormat="1" x14ac:dyDescent="0.2"/>
    <row r="26" s="1" customFormat="1" x14ac:dyDescent="0.2"/>
    <row r="27" s="1" customFormat="1" x14ac:dyDescent="0.2"/>
    <row r="28" s="1" customFormat="1" x14ac:dyDescent="0.2"/>
  </sheetData>
  <pageMargins left="0.7" right="0.7" top="0.75" bottom="0.75" header="0.3" footer="0.3"/>
  <pageSetup paperSize="17" orientation="landscape" r:id="rId1"/>
  <customProperties>
    <customPr name="EpmWorksheetKeyString_GUID"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D0F4C6-B3F1-43E8-A304-5BEFFD0CD0B0}">
  <sheetPr codeName="SheetMetrics"/>
  <dimension ref="A1"/>
  <sheetViews>
    <sheetView workbookViewId="0"/>
  </sheetViews>
  <sheetFormatPr defaultColWidth="8.85546875" defaultRowHeight="12.75" x14ac:dyDescent="0.2"/>
  <sheetData/>
  <sheetProtection algorithmName="SHA-512" hashValue="/Ol/33uv1SeF3FoBGyC26ykoA4S0KStsDQksnWz9WnXK62E0jPNP9rkxkeHbAqOb3T77WxYwDQF9LEZhnopxmw==" saltValue="FlIdQzONwoNvthqU91hB4w==" spinCount="100000" sheet="1" objects="1" scenarios="1" autoFilter="0"/>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QUALITY LOG</vt:lpstr>
      <vt:lpstr>8D DETAILS</vt:lpstr>
      <vt:lpstr>8D Form</vt:lpstr>
      <vt:lpstr>Tracking</vt:lpstr>
      <vt:lpstr>Reference</vt:lpstr>
      <vt:lpstr>Active_Cell</vt:lpstr>
      <vt:lpstr>'8D Form'!Print_Area</vt:lpstr>
    </vt:vector>
  </TitlesOfParts>
  <Company>HEP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Riley Laughlin</cp:lastModifiedBy>
  <cp:lastPrinted>2021-07-28T18:58:21Z</cp:lastPrinted>
  <dcterms:created xsi:type="dcterms:W3CDTF">1999-05-13T13:38:41Z</dcterms:created>
  <dcterms:modified xsi:type="dcterms:W3CDTF">2023-08-04T21:38:59Z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